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comments1.xml" ContentType="application/vnd.openxmlformats-officedocument.spreadsheetml.comments+xml"/>
  <Override PartName="/xl/tables/table8.xml" ContentType="application/vnd.openxmlformats-officedocument.spreadsheetml.table+xml"/>
  <Override PartName="/xl/queryTables/queryTable3.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SK070581\Desktop\聞き取り予定設計案\★元ファイル\"/>
    </mc:Choice>
  </mc:AlternateContent>
  <xr:revisionPtr revIDLastSave="0" documentId="13_ncr:1_{03D2E63E-C9C1-4D95-8864-3A1F4A93DF72}" xr6:coauthVersionLast="47" xr6:coauthVersionMax="47" xr10:uidLastSave="{00000000-0000-0000-0000-000000000000}"/>
  <bookViews>
    <workbookView xWindow="-108" yWindow="-108" windowWidth="23256" windowHeight="12456" firstSheet="2" activeTab="3" xr2:uid="{E6235E8C-3749-4920-BA46-9C723505C520}"/>
  </bookViews>
  <sheets>
    <sheet name="担当者DB" sheetId="6" state="hidden" r:id="rId1"/>
    <sheet name="製品DB" sheetId="5" state="hidden" r:id="rId2"/>
    <sheet name="担当者別 引取り予定表" sheetId="18" r:id="rId3"/>
    <sheet name="一括入力フォーム" sheetId="11" r:id="rId4"/>
    <sheet name="首都圏(仕入品)" sheetId="4" r:id="rId5"/>
    <sheet name="首都圏(四工品)" sheetId="3" r:id="rId6"/>
    <sheet name="入力ログ" sheetId="12" r:id="rId7"/>
    <sheet name="変換リスト" sheetId="19" state="hidden" r:id="rId8"/>
    <sheet name="プログラム設定" sheetId="2" state="hidden" r:id="rId9"/>
    <sheet name="★変換済みデータ" sheetId="26" r:id="rId10"/>
    <sheet name="未一致一覧" sheetId="20" state="hidden" r:id="rId11"/>
    <sheet name="変換候補一覧" sheetId="29" r:id="rId12"/>
    <sheet name="★班員データ" sheetId="24" r:id="rId13"/>
    <sheet name="採用分登録用" sheetId="28" r:id="rId14"/>
  </sheets>
  <definedNames>
    <definedName name="_xlnm._FilterDatabase" localSheetId="7" hidden="1">変換リスト!$A$1:$C$179</definedName>
    <definedName name="ExternalData_1" localSheetId="12" hidden="1">★班員データ!$A$1:$M$2</definedName>
    <definedName name="ExternalData_1" localSheetId="10" hidden="1">未一致一覧!$A$1:$F$6</definedName>
    <definedName name="ExternalData_2" localSheetId="9" hidden="1">★変換済みデータ!$A$1:$P$2</definedName>
    <definedName name="_xlnm.Print_Area" localSheetId="4">'首都圏(仕入品)'!$A$1:$AE$360</definedName>
    <definedName name="_xlnm.Print_Area" localSheetId="5">'首都圏(四工品)'!$A$1:$AE$365</definedName>
    <definedName name="_xlnm.Print_Area" localSheetId="2">'担当者別 引取り予定表'!$A$1:$R$257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56" i="18" l="1"/>
  <c r="Q256" i="18"/>
  <c r="R255" i="18"/>
  <c r="Q255" i="18"/>
  <c r="R254" i="18"/>
  <c r="Q254" i="18"/>
  <c r="R253" i="18"/>
  <c r="Q253" i="18"/>
  <c r="R252" i="18"/>
  <c r="Q252" i="18"/>
  <c r="R251" i="18"/>
  <c r="Q251" i="18"/>
  <c r="R250" i="18"/>
  <c r="Q250" i="18"/>
  <c r="R249" i="18"/>
  <c r="Q249" i="18"/>
  <c r="R248" i="18"/>
  <c r="Q248" i="18"/>
  <c r="R247" i="18"/>
  <c r="Q247" i="18"/>
  <c r="R246" i="18"/>
  <c r="Q246" i="18"/>
  <c r="R245" i="18"/>
  <c r="Q245" i="18"/>
  <c r="R244" i="18"/>
  <c r="Q244" i="18"/>
  <c r="R243" i="18"/>
  <c r="Q243" i="18"/>
  <c r="R242" i="18"/>
  <c r="Q242" i="18"/>
  <c r="R241" i="18"/>
  <c r="Q241" i="18"/>
  <c r="R240" i="18"/>
  <c r="Q240" i="18"/>
  <c r="R239" i="18"/>
  <c r="Q239" i="18"/>
  <c r="R238" i="18"/>
  <c r="Q238" i="18"/>
  <c r="R237" i="18"/>
  <c r="Q237" i="18"/>
  <c r="R236" i="18"/>
  <c r="Q236" i="18"/>
  <c r="R235" i="18"/>
  <c r="Q235" i="18"/>
  <c r="R234" i="18"/>
  <c r="Q234" i="18"/>
  <c r="R233" i="18"/>
  <c r="Q233" i="18"/>
  <c r="R232" i="18"/>
  <c r="Q232" i="18"/>
  <c r="R231" i="18"/>
  <c r="Q231" i="18"/>
  <c r="R230" i="18"/>
  <c r="Q230" i="18"/>
  <c r="R229" i="18"/>
  <c r="Q229" i="18"/>
  <c r="R228" i="18"/>
  <c r="Q228" i="18"/>
  <c r="R227" i="18"/>
  <c r="Q227" i="18"/>
  <c r="R226" i="18"/>
  <c r="Q226" i="18"/>
  <c r="R225" i="18"/>
  <c r="Q225" i="18"/>
  <c r="R224" i="18"/>
  <c r="Q224" i="18"/>
  <c r="R223" i="18"/>
  <c r="Q223" i="18"/>
  <c r="R222" i="18"/>
  <c r="Q222" i="18"/>
  <c r="R221" i="18"/>
  <c r="Q221" i="18"/>
  <c r="R220" i="18"/>
  <c r="Q220" i="18"/>
  <c r="R219" i="18"/>
  <c r="Q219" i="18"/>
  <c r="R218" i="18"/>
  <c r="Q218" i="18"/>
  <c r="R217" i="18"/>
  <c r="Q217" i="18"/>
  <c r="R216" i="18"/>
  <c r="Q216" i="18"/>
  <c r="R215" i="18"/>
  <c r="Q215" i="18"/>
  <c r="R214" i="18"/>
  <c r="Q214" i="18"/>
  <c r="R213" i="18"/>
  <c r="Q213" i="18"/>
  <c r="R212" i="18"/>
  <c r="Q212" i="18"/>
  <c r="R211" i="18"/>
  <c r="Q211" i="18"/>
  <c r="R210" i="18"/>
  <c r="Q210" i="18"/>
  <c r="R209" i="18"/>
  <c r="Q209" i="18"/>
  <c r="R208" i="18"/>
  <c r="Q208" i="18"/>
  <c r="R207" i="18"/>
  <c r="Q207" i="18"/>
  <c r="R206" i="18"/>
  <c r="Q206" i="18"/>
  <c r="R205" i="18"/>
  <c r="Q205" i="18"/>
  <c r="R204" i="18"/>
  <c r="Q204" i="18"/>
  <c r="R203" i="18"/>
  <c r="Q203" i="18"/>
  <c r="R202" i="18"/>
  <c r="Q202" i="18"/>
  <c r="R201" i="18"/>
  <c r="Q201" i="18"/>
  <c r="R200" i="18"/>
  <c r="Q200" i="18"/>
  <c r="R199" i="18"/>
  <c r="Q199" i="18"/>
  <c r="R198" i="18"/>
  <c r="Q198" i="18"/>
  <c r="R197" i="18"/>
  <c r="Q197" i="18"/>
  <c r="R196" i="18"/>
  <c r="Q196" i="18"/>
  <c r="R195" i="18"/>
  <c r="Q195" i="18"/>
  <c r="R194" i="18"/>
  <c r="Q194" i="18"/>
  <c r="R193" i="18"/>
  <c r="Q193" i="18"/>
  <c r="R192" i="18"/>
  <c r="Q192" i="18"/>
  <c r="R191" i="18"/>
  <c r="Q191" i="18"/>
  <c r="R190" i="18"/>
  <c r="Q190" i="18"/>
  <c r="R189" i="18"/>
  <c r="Q189" i="18"/>
  <c r="R188" i="18"/>
  <c r="Q188" i="18"/>
  <c r="R187" i="18"/>
  <c r="Q187" i="18"/>
  <c r="R186" i="18"/>
  <c r="Q186" i="18"/>
  <c r="R185" i="18"/>
  <c r="Q185" i="18"/>
  <c r="R184" i="18"/>
  <c r="Q184" i="18"/>
  <c r="R183" i="18"/>
  <c r="Q183" i="18"/>
  <c r="R182" i="18"/>
  <c r="Q182" i="18"/>
  <c r="R181" i="18"/>
  <c r="Q181" i="18"/>
  <c r="R180" i="18"/>
  <c r="Q180" i="18"/>
  <c r="R179" i="18"/>
  <c r="Q179" i="18"/>
  <c r="O177" i="18"/>
  <c r="M177" i="18"/>
  <c r="L176" i="18"/>
  <c r="R175" i="18"/>
  <c r="Q175" i="18"/>
  <c r="R174" i="18"/>
  <c r="Q174" i="18"/>
  <c r="R173" i="18"/>
  <c r="Q173" i="18"/>
  <c r="R172" i="18"/>
  <c r="Q172" i="18"/>
  <c r="R171" i="18"/>
  <c r="Q171" i="18"/>
  <c r="R170" i="18"/>
  <c r="Q170" i="18"/>
  <c r="R169" i="18"/>
  <c r="Q169" i="18"/>
  <c r="R168" i="18"/>
  <c r="Q168" i="18"/>
  <c r="R167" i="18"/>
  <c r="Q167" i="18"/>
  <c r="R166" i="18"/>
  <c r="Q166" i="18"/>
  <c r="R165" i="18"/>
  <c r="Q165" i="18"/>
  <c r="R164" i="18"/>
  <c r="Q164" i="18"/>
  <c r="R163" i="18"/>
  <c r="Q163" i="18"/>
  <c r="R162" i="18"/>
  <c r="Q162" i="18"/>
  <c r="R161" i="18"/>
  <c r="Q161" i="18"/>
  <c r="R160" i="18"/>
  <c r="Q160" i="18"/>
  <c r="R159" i="18"/>
  <c r="Q159" i="18"/>
  <c r="R158" i="18"/>
  <c r="Q158" i="18"/>
  <c r="R157" i="18"/>
  <c r="Q157" i="18"/>
  <c r="R156" i="18"/>
  <c r="Q156" i="18"/>
  <c r="R155" i="18"/>
  <c r="Q155" i="18"/>
  <c r="R154" i="18"/>
  <c r="Q154" i="18"/>
  <c r="R153" i="18"/>
  <c r="Q153" i="18"/>
  <c r="R152" i="18"/>
  <c r="Q152" i="18"/>
  <c r="R151" i="18"/>
  <c r="Q151" i="18"/>
  <c r="R150" i="18"/>
  <c r="Q150" i="18"/>
  <c r="R149" i="18"/>
  <c r="Q149" i="18"/>
  <c r="R148" i="18"/>
  <c r="Q148" i="18"/>
  <c r="R147" i="18"/>
  <c r="Q147" i="18"/>
  <c r="R146" i="18"/>
  <c r="Q146" i="18"/>
  <c r="R145" i="18"/>
  <c r="Q145" i="18"/>
  <c r="R144" i="18"/>
  <c r="Q144" i="18"/>
  <c r="R143" i="18"/>
  <c r="Q143" i="18"/>
  <c r="R142" i="18"/>
  <c r="Q142" i="18"/>
  <c r="R141" i="18"/>
  <c r="Q141" i="18"/>
  <c r="R140" i="18"/>
  <c r="Q140" i="18"/>
  <c r="R139" i="18"/>
  <c r="Q139" i="18"/>
  <c r="R138" i="18"/>
  <c r="Q138" i="18"/>
  <c r="O136" i="18"/>
  <c r="M136" i="18"/>
  <c r="L135" i="18"/>
  <c r="R134" i="18"/>
  <c r="Q134" i="18"/>
  <c r="R133" i="18"/>
  <c r="Q133" i="18"/>
  <c r="R132" i="18"/>
  <c r="Q132" i="18"/>
  <c r="R131" i="18"/>
  <c r="Q131" i="18"/>
  <c r="R130" i="18"/>
  <c r="Q130" i="18"/>
  <c r="R129" i="18"/>
  <c r="Q129" i="18"/>
  <c r="R128" i="18"/>
  <c r="Q128" i="18"/>
  <c r="R127" i="18"/>
  <c r="Q127" i="18"/>
  <c r="R126" i="18"/>
  <c r="Q126" i="18"/>
  <c r="R125" i="18"/>
  <c r="Q125" i="18"/>
  <c r="R124" i="18"/>
  <c r="Q124" i="18"/>
  <c r="R123" i="18"/>
  <c r="Q123" i="18"/>
  <c r="R122" i="18"/>
  <c r="Q122" i="18"/>
  <c r="R121" i="18"/>
  <c r="Q121" i="18"/>
  <c r="R120" i="18"/>
  <c r="Q120" i="18"/>
  <c r="R119" i="18"/>
  <c r="Q119" i="18"/>
  <c r="R118" i="18"/>
  <c r="Q118" i="18"/>
  <c r="R117" i="18"/>
  <c r="Q117" i="18"/>
  <c r="R116" i="18"/>
  <c r="Q116" i="18"/>
  <c r="R115" i="18"/>
  <c r="Q115" i="18"/>
  <c r="R114" i="18"/>
  <c r="Q114" i="18"/>
  <c r="R113" i="18"/>
  <c r="Q113" i="18"/>
  <c r="R112" i="18"/>
  <c r="Q112" i="18"/>
  <c r="R111" i="18"/>
  <c r="Q111" i="18"/>
  <c r="R110" i="18"/>
  <c r="Q110" i="18"/>
  <c r="R109" i="18"/>
  <c r="Q109" i="18"/>
  <c r="R108" i="18"/>
  <c r="Q108" i="18"/>
  <c r="R107" i="18"/>
  <c r="Q107" i="18"/>
  <c r="R106" i="18"/>
  <c r="Q106" i="18"/>
  <c r="R105" i="18"/>
  <c r="Q105" i="18"/>
  <c r="R104" i="18"/>
  <c r="Q104" i="18"/>
  <c r="R103" i="18"/>
  <c r="Q103" i="18"/>
  <c r="R102" i="18"/>
  <c r="Q102" i="18"/>
  <c r="R101" i="18"/>
  <c r="Q101" i="18"/>
  <c r="R100" i="18"/>
  <c r="Q100" i="18"/>
  <c r="R99" i="18"/>
  <c r="Q99" i="18"/>
  <c r="R98" i="18"/>
  <c r="Q98" i="18"/>
  <c r="R97" i="18"/>
  <c r="Q97" i="18"/>
  <c r="R96" i="18"/>
  <c r="Q96" i="18"/>
  <c r="R95" i="18"/>
  <c r="Q95" i="18"/>
  <c r="R94" i="18"/>
  <c r="Q94" i="18"/>
  <c r="R93" i="18"/>
  <c r="Q93" i="18"/>
  <c r="R92" i="18"/>
  <c r="Q92" i="18"/>
  <c r="R91" i="18"/>
  <c r="Q91" i="18"/>
  <c r="R90" i="18"/>
  <c r="Q90" i="18"/>
  <c r="O88" i="18"/>
  <c r="M88" i="18"/>
  <c r="R85" i="18"/>
  <c r="Q85" i="18"/>
  <c r="R84" i="18"/>
  <c r="Q84" i="18"/>
  <c r="R83" i="18"/>
  <c r="Q83" i="18"/>
  <c r="R82" i="18"/>
  <c r="Q82" i="18"/>
  <c r="R81" i="18"/>
  <c r="Q81" i="18"/>
  <c r="R80" i="18"/>
  <c r="Q80" i="18"/>
  <c r="R79" i="18"/>
  <c r="Q79" i="18"/>
  <c r="R78" i="18"/>
  <c r="Q78" i="18"/>
  <c r="R77" i="18"/>
  <c r="Q77" i="18"/>
  <c r="R76" i="18"/>
  <c r="Q76" i="18"/>
  <c r="R75" i="18"/>
  <c r="Q75" i="18"/>
  <c r="R74" i="18"/>
  <c r="Q74" i="18"/>
  <c r="R73" i="18"/>
  <c r="Q73" i="18"/>
  <c r="R72" i="18"/>
  <c r="Q72" i="18"/>
  <c r="R71" i="18"/>
  <c r="Q71" i="18"/>
  <c r="R70" i="18"/>
  <c r="Q70" i="18"/>
  <c r="R69" i="18"/>
  <c r="Q69" i="18"/>
  <c r="R68" i="18"/>
  <c r="Q68" i="18"/>
  <c r="R67" i="18"/>
  <c r="Q67" i="18"/>
  <c r="R66" i="18"/>
  <c r="Q66" i="18"/>
  <c r="R65" i="18"/>
  <c r="Q65" i="18"/>
  <c r="R64" i="18"/>
  <c r="Q64" i="18"/>
  <c r="R63" i="18"/>
  <c r="Q63" i="18"/>
  <c r="R62" i="18"/>
  <c r="Q62" i="18"/>
  <c r="R61" i="18"/>
  <c r="Q61" i="18"/>
  <c r="R60" i="18"/>
  <c r="Q60" i="18"/>
  <c r="R59" i="18"/>
  <c r="Q59" i="18"/>
  <c r="R58" i="18"/>
  <c r="Q58" i="18"/>
  <c r="R57" i="18"/>
  <c r="Q57" i="18"/>
  <c r="R56" i="18"/>
  <c r="Q56" i="18"/>
  <c r="R55" i="18"/>
  <c r="Q55" i="18"/>
  <c r="R54" i="18"/>
  <c r="Q54" i="18"/>
  <c r="R53" i="18"/>
  <c r="Q53" i="18"/>
  <c r="R52" i="18"/>
  <c r="Q52" i="18"/>
  <c r="R51" i="18"/>
  <c r="Q51" i="18"/>
  <c r="R50" i="18"/>
  <c r="Q50" i="18"/>
  <c r="R49" i="18"/>
  <c r="Q49" i="18"/>
  <c r="R48" i="18"/>
  <c r="Q48" i="18"/>
  <c r="R47" i="18"/>
  <c r="Q47" i="18"/>
  <c r="R46" i="18"/>
  <c r="Q46" i="18"/>
  <c r="R45" i="18"/>
  <c r="Q45" i="18"/>
  <c r="O43" i="18"/>
  <c r="M43" i="18"/>
  <c r="L42" i="18"/>
  <c r="L87" i="18" s="1"/>
  <c r="R41" i="18"/>
  <c r="Q41" i="18"/>
  <c r="R40" i="18"/>
  <c r="Q40" i="18"/>
  <c r="R39" i="18"/>
  <c r="Q39" i="18"/>
  <c r="R38" i="18"/>
  <c r="Q38" i="18"/>
  <c r="R37" i="18"/>
  <c r="Q37" i="18"/>
  <c r="R36" i="18"/>
  <c r="Q36" i="18"/>
  <c r="R35" i="18"/>
  <c r="Q35" i="18"/>
  <c r="R34" i="18"/>
  <c r="Q34" i="18"/>
  <c r="R33" i="18"/>
  <c r="Q33" i="18"/>
  <c r="R32" i="18"/>
  <c r="Q32" i="18"/>
  <c r="R31" i="18"/>
  <c r="Q31" i="18"/>
  <c r="R30" i="18"/>
  <c r="Q30" i="18"/>
  <c r="R29" i="18"/>
  <c r="Q29" i="18"/>
  <c r="R28" i="18"/>
  <c r="Q28" i="18"/>
  <c r="R27" i="18"/>
  <c r="Q27" i="18"/>
  <c r="R26" i="18"/>
  <c r="Q26" i="18"/>
  <c r="R25" i="18"/>
  <c r="Q25" i="18"/>
  <c r="R24" i="18"/>
  <c r="Q24" i="18"/>
  <c r="R23" i="18"/>
  <c r="Q23" i="18"/>
  <c r="R22" i="18"/>
  <c r="Q22" i="18"/>
  <c r="R21" i="18"/>
  <c r="Q21" i="18"/>
  <c r="R20" i="18"/>
  <c r="Q20" i="18"/>
  <c r="R19" i="18"/>
  <c r="Q19" i="18"/>
  <c r="R18" i="18"/>
  <c r="Q18" i="18"/>
  <c r="R17" i="18"/>
  <c r="Q17" i="18"/>
  <c r="R16" i="18"/>
  <c r="Q16" i="18"/>
  <c r="R15" i="18"/>
  <c r="Q15" i="18"/>
  <c r="R14" i="18"/>
  <c r="Q14" i="18"/>
  <c r="R13" i="18"/>
  <c r="Q13" i="18"/>
  <c r="R12" i="18"/>
  <c r="Q12" i="18"/>
  <c r="R11" i="18"/>
  <c r="Q11" i="18"/>
  <c r="R10" i="18"/>
  <c r="Q10" i="18"/>
  <c r="R9" i="18"/>
  <c r="Q9" i="18"/>
  <c r="R8" i="18"/>
  <c r="Q8" i="18"/>
  <c r="R7" i="18"/>
  <c r="Q7" i="18"/>
  <c r="R6" i="18"/>
  <c r="Q6" i="18"/>
  <c r="R5" i="18"/>
  <c r="Q5" i="18"/>
  <c r="R4" i="18"/>
  <c r="Q4" i="18"/>
  <c r="A5" i="29" a="1"/>
  <c r="A5" i="29" l="1"/>
  <c r="C74" i="4"/>
  <c r="B294" i="3" l="1"/>
  <c r="B221" i="3"/>
  <c r="B148" i="3"/>
  <c r="B75" i="3"/>
  <c r="G294" i="3"/>
  <c r="G221" i="3"/>
  <c r="C146" i="4"/>
  <c r="A3" i="2"/>
  <c r="A2" i="2" s="1"/>
  <c r="A4" i="2" l="1"/>
  <c r="A5" i="2"/>
  <c r="B76" i="4" l="1"/>
  <c r="B78" i="4"/>
  <c r="C143" i="4"/>
  <c r="B148" i="4"/>
  <c r="B150" i="4"/>
  <c r="C215" i="4"/>
  <c r="C288" i="4"/>
  <c r="C359" i="4"/>
  <c r="C218" i="3" l="1"/>
  <c r="B365" i="3"/>
  <c r="G75" i="3"/>
  <c r="B77" i="3"/>
  <c r="Q77" i="3"/>
  <c r="S77" i="3"/>
  <c r="V77" i="3"/>
  <c r="Y77" i="3"/>
  <c r="AB77" i="3"/>
  <c r="V78" i="3"/>
  <c r="B79" i="3"/>
  <c r="I79" i="3"/>
  <c r="L79" i="3"/>
  <c r="S79" i="3"/>
  <c r="V79" i="3"/>
  <c r="Y79" i="3"/>
  <c r="AB79" i="3"/>
  <c r="M80" i="3"/>
  <c r="Q80" i="3"/>
  <c r="Y145" i="3"/>
  <c r="G148" i="3"/>
  <c r="B150" i="3"/>
  <c r="Q150" i="3"/>
  <c r="S150" i="3"/>
  <c r="V150" i="3"/>
  <c r="Y150" i="3"/>
  <c r="AB150" i="3"/>
  <c r="V151" i="3"/>
  <c r="B152" i="3"/>
  <c r="I152" i="3"/>
  <c r="L152" i="3"/>
  <c r="S152" i="3"/>
  <c r="V152" i="3"/>
  <c r="Y152" i="3"/>
  <c r="AB152" i="3"/>
  <c r="M153" i="3"/>
  <c r="Q153" i="3"/>
  <c r="Y218" i="3"/>
  <c r="B223" i="3"/>
  <c r="Q223" i="3"/>
  <c r="S223" i="3"/>
  <c r="V223" i="3"/>
  <c r="Y223" i="3"/>
  <c r="AB223" i="3"/>
  <c r="V224" i="3"/>
  <c r="B225" i="3"/>
  <c r="I225" i="3"/>
  <c r="L225" i="3"/>
  <c r="S225" i="3"/>
  <c r="V225" i="3"/>
  <c r="Y225" i="3"/>
  <c r="AB225" i="3"/>
  <c r="M226" i="3"/>
  <c r="Q226" i="3"/>
  <c r="Y291" i="3"/>
  <c r="B296" i="3"/>
  <c r="Q296" i="3"/>
  <c r="S296" i="3"/>
  <c r="V296" i="3"/>
  <c r="Y296" i="3"/>
  <c r="AB296" i="3"/>
  <c r="V297" i="3"/>
  <c r="B298" i="3"/>
  <c r="I298" i="3"/>
  <c r="L298" i="3"/>
  <c r="S298" i="3"/>
  <c r="V298" i="3"/>
  <c r="Y298" i="3"/>
  <c r="AB298" i="3"/>
  <c r="M299" i="3"/>
  <c r="Q299" i="3"/>
  <c r="S301" i="3"/>
  <c r="Y364" i="3"/>
  <c r="B292" i="3" l="1"/>
  <c r="C364" i="3"/>
  <c r="B146" i="3"/>
  <c r="B219" i="3"/>
  <c r="C291" i="3"/>
  <c r="C14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ChatGPT</author>
  </authors>
  <commentList>
    <comment ref="A3" authorId="0" shapeId="0" xr:uid="{C72E8C6D-A0FA-4908-AB39-3BF240393BFC}">
      <text>
        <r>
          <rPr>
            <sz val="11"/>
            <color theme="1"/>
            <rFont val="游ゴシック"/>
            <family val="2"/>
            <charset val="128"/>
            <scheme val="minor"/>
          </rPr>
          <t>Python in Excel用の式です。環境によっては再計算・認証が必要です。式が動かない場合は「Python候補生成コード」シートのコードをPythonセルに貼り付けてください。</t>
        </r>
      </text>
    </comment>
    <comment ref="A5" authorId="0" shapeId="0" xr:uid="{722B522E-D931-420B-A11F-E0446A0DCF9D}">
      <text>
        <r>
          <rPr>
            <sz val="11"/>
            <color theme="1"/>
            <rFont val="游ゴシック"/>
            <family val="2"/>
            <charset val="128"/>
            <scheme val="minor"/>
          </rPr>
          <t>Python in Excel用の出力セルです。A:Jに候補表が展開されます。K列に「採用」を入力してください。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ChatGPT</author>
  </authors>
  <commentList>
    <comment ref="A5" authorId="0" shapeId="0" xr:uid="{8251DB58-C6BA-446A-8A56-33D6F9E3AE1E}">
      <text>
        <r>
          <rPr>
            <sz val="11"/>
            <color theme="1"/>
            <rFont val="游ゴシック"/>
            <family val="2"/>
            <charset val="128"/>
            <scheme val="minor"/>
          </rPr>
          <t>採用された候補だけを変換リストへ登録するための確認用リストです。</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4CFB9F3-08A5-4CAF-B491-AABFC5E2FBF1}" keepAlive="1" name="クエリ - ★班員データ" description="ブック内の '★班員データ' クエリへの接続です。" type="5" refreshedVersion="8" saveData="1">
    <dbPr connection="Provider=Microsoft.Mashup.OleDb.1;Data Source=$Workbook$;Location=★班員データ;Extended Properties=&quot;&quot;" command="SELECT * FROM [★班員データ]"/>
  </connection>
  <connection id="2" xr16:uid="{3F25F326-3530-4FF1-A529-BAF785AB514B}" keepAlive="1" name="クエリ - ★変換済みデータ" description="ブック内の '★変換済みデータ' クエリへの接続です。" type="5" refreshedVersion="8" background="1" saveData="1">
    <dbPr connection="Provider=Microsoft.Mashup.OleDb.1;Data Source=$Workbook$;Location=★変換済みデータ;Extended Properties=&quot;&quot;" command="SELECT * FROM [★変換済みデータ]"/>
  </connection>
  <connection id="3" xr16:uid="{C30F3F61-FFB3-4CF9-BD5F-724F95364ED1}" keepAlive="1" name="クエリ - ★変換済み結合" description="ブック内の '★変換済み結合' クエリへの接続です。" type="5" refreshedVersion="8" background="1" saveData="1">
    <dbPr connection="Provider=Microsoft.Mashup.OleDb.1;Data Source=$Workbook$;Location=★変換済み結合;Extended Properties=&quot;&quot;" command="SELECT * FROM [★変換済み結合]"/>
  </connection>
  <connection id="4" xr16:uid="{0217D71A-E5F3-4625-998C-D7EDD7DCC17B}" keepAlive="1" name="クエリ - ★未変換一覧" description="ブック内の '★未変換一覧' クエリへの接続です。" type="5" refreshedVersion="8" background="1" saveData="1">
    <dbPr connection="Provider=Microsoft.Mashup.OleDb.1;Data Source=$Workbook$;Location=★未変換一覧;Extended Properties=&quot;&quot;" command="SELECT * FROM [★未変換一覧]"/>
  </connection>
  <connection id="5" xr16:uid="{87A4D863-84CB-4151-8348-442436AB51FF}" keepAlive="1" name="クエリ - fnNormalize" description="ブック内の 'fnNormalize' クエリへの接続です。" type="5" refreshedVersion="0" background="1">
    <dbPr connection="Provider=Microsoft.Mashup.OleDb.1;Data Source=$Workbook$;Location=fnNormalize;Extended Properties=&quot;&quot;" command="SELECT * FROM [fnNormalize]"/>
  </connection>
  <connection id="6" xr16:uid="{E3AB5CB2-3C95-408B-A008-901671BB26B5}" keepAlive="1" name="クエリ - 変換リスト" description="ブック内の '変換リスト' クエリへの接続です。" type="5" refreshedVersion="8" background="1" saveData="1">
    <dbPr connection="Provider=Microsoft.Mashup.OleDb.1;Data Source=$Workbook$;Location=変換リスト;Extended Properties=&quot;&quot;" command="SELECT * FROM [変換リスト]"/>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
    <bk>
      <extLst>
        <ext uri="{3e2802c4-a4d2-4d8b-9148-e3be6c30e623}">
          <xlrd:rvb i="0"/>
        </ext>
      </extLst>
    </bk>
    <bk>
      <extLst>
        <ext uri="{3e2802c4-a4d2-4d8b-9148-e3be6c30e623}">
          <xlrd:rvb i="1"/>
        </ext>
      </extLst>
    </bk>
  </future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 xml:space="preserve">import pandas as pd
from difflib import SequenceMatcher
import unicodedata
import re
def 正規化(text):
    if pd.isna(text):
        return ""
    text = str(text)
    text = unicodedata.normalize("NFKC", text)
    text = text.upper()
    text = re.sub(r"\s+", "", text)
    remove_chars = [
        " ", "　", "-", "－", "ー", "ｰ", "―", "‐",
        "/", "／", "･", "・", "(", ")", "（", "）",
        "[", "]", "［", "］", "{", "}", "｛", "｝",
        "【", "】", "「", "」", "『", "』",
        ".", "．", ",", "，", "_", "＿"
    ]
    for ch in remove_chars:
        text = text.replace(ch, "")
    replacements = {
        "㎡": "M2",
        "平米": "M2",
        "ｍ２": "M2",
        "Ｍ２": "M2",
        "M²": "M2",
        "㎜": "MM",
        "ミリ": "MM",
        "ｍｍ": "MM",
        "ＭＭ": "MM",
        "メートル": "M",
        "ｍ": "M",
        "Ｍ": "M"
    }
    for before, after in replacements.items():
        text = text.replace(before, after)
    return text.strip()
def 類似度(a, b):
    a = 正規化(a)
    b = 正規化(b)
    if a == "" or b == "":
        return 0
    if a == b:
        return 100
    if a in b or b in a:
        return 92
    return SequenceMatcher(None, a, b).ratio() * 100
def UR案件か(value):
    if pd.isna(value):
        return False
    text = unicodedata.normalize("NFKC", str(value).strip().upper())
    return "UR" in text
def UR品か(value):
    if pd.isna(value):
        return False
    text = unicodedata.normalize("NFKC", str(value).strip().upper())
    return text in ["UR", "○", "〇", "1", "TRUE", "YES", "対象"]
try:
    未変換 = xl(%P2%, headers=False)
except:
    未変換 = xl(%P3%, headers=False)
未変換 = 未変換.iloc[:, :7]
未変換.columns = ["Name", "担当者", "区分", "材料", "数量", "単位", "納品日"]
変換リスト = xl(%P4%, headers=False)
変換リスト = 変換リスト.iloc[:, :4]
変換リスト.columns = ["変換前（材料名）", "変換後（製品名）", "UR", "メーカー"]
未変換 = 未変換.dropna(subset=["材料"])
変換リスト = 変換リスト.dropna(
    subset=["変換前（材料名）", "変換後（製品名）"],
    how="all"
)
未変換材料リスト = (
    未変換[["区分", "材料"]]
    .dropna(subset=["材料"])
    .copy()
)
未変換材料リスト["材料"] = 未変換材料リスト["材料"].astype(str).str.strip()
未変換材料リスト = 未変換材料リスト[
    未変換材料リスト["材料"] != ""
].drop_duplicates()
結果 = []
for _, target in 未変換材料リスト.iterrows():
    区分 = target["区分"]
    材料 = target["材料"]
    is_ur_case = UR案件か(区分)
    scores = []
    for _, row in 変換リスト.iterrows():
        変換前 = row["変換前（材料名）"]
        変換後 = row["変換後（製品名）"]
        UR = row["UR"]
        メーカー = row["メーカー"]
        score_変換前 = 類似度(材料, 変換前)
        score_変換後 = 類似度(材料, 変換後)
        base_score = max(score_変換前, score_変換後)
        ur_bonus = 10 if is_ur_case and UR品か(UR) else 0
        score = min(base_score + ur_bonus, 100)
        scores.append({
            "候補製品名": 変換後,
            "スコア": score
        })
    上位候補 = sorted(scores, key=lambda x: x["スコア"], reverse=True)[:3]
    row = {
        "元の材料名": 材料,
        "区分": 区分,
        "候補1": "",
        "スコア1": "",
        "候補2": "",
        "スコア2": "",
        "候補3": "",
        "スコア3": ""
    }
    for idx, item in enumerate(上位候補, start=1):
        row[f"候補{idx}"] = item["候補製品名"]
        row[f"スコア{idx}"] = round(item["スコア"], 1)
    結果.append(row)
pd.DataFrame(結果)
</code>
    </pythonScript>
  </pythonScripts>
</python>
</file>

<file path=xl/sharedStrings.xml><?xml version="1.0" encoding="utf-8"?>
<sst xmlns="http://schemas.openxmlformats.org/spreadsheetml/2006/main" count="2213" uniqueCount="1371">
  <si>
    <t>首都圏　担当者別　製品引取り予定表　　　</t>
    <rPh sb="0" eb="3">
      <t>シュトケン</t>
    </rPh>
    <rPh sb="4" eb="7">
      <t>タントウシャ</t>
    </rPh>
    <rPh sb="7" eb="8">
      <t>ベツ</t>
    </rPh>
    <rPh sb="9" eb="11">
      <t>セイヒン</t>
    </rPh>
    <rPh sb="11" eb="13">
      <t>ヒキトリ</t>
    </rPh>
    <rPh sb="14" eb="16">
      <t>ヨテイ</t>
    </rPh>
    <rPh sb="16" eb="17">
      <t>ヒョウ</t>
    </rPh>
    <phoneticPr fontId="2"/>
  </si>
  <si>
    <t>製品名</t>
    <rPh sb="0" eb="2">
      <t>セイヒン</t>
    </rPh>
    <rPh sb="2" eb="3">
      <t>メイ</t>
    </rPh>
    <phoneticPr fontId="2"/>
  </si>
  <si>
    <t>原澤</t>
    <rPh sb="0" eb="2">
      <t>ハラサワ</t>
    </rPh>
    <phoneticPr fontId="2"/>
  </si>
  <si>
    <t>亀井</t>
    <rPh sb="0" eb="2">
      <t>カメイ</t>
    </rPh>
    <phoneticPr fontId="2"/>
  </si>
  <si>
    <t>平木</t>
    <rPh sb="0" eb="2">
      <t>ヒラキ</t>
    </rPh>
    <phoneticPr fontId="2"/>
  </si>
  <si>
    <t>池本</t>
    <rPh sb="0" eb="2">
      <t>イケモト</t>
    </rPh>
    <phoneticPr fontId="2"/>
  </si>
  <si>
    <t>合計</t>
    <rPh sb="0" eb="2">
      <t>ゴウケイ</t>
    </rPh>
    <phoneticPr fontId="2"/>
  </si>
  <si>
    <t>前半</t>
    <rPh sb="0" eb="2">
      <t>ゼンハン</t>
    </rPh>
    <phoneticPr fontId="2"/>
  </si>
  <si>
    <t>後半</t>
    <rPh sb="0" eb="2">
      <t>コウハン</t>
    </rPh>
    <phoneticPr fontId="2"/>
  </si>
  <si>
    <t>【アスファルト防水】</t>
    <rPh sb="7" eb="9">
      <t>ボウスイ</t>
    </rPh>
    <phoneticPr fontId="2"/>
  </si>
  <si>
    <t>アスファルトルーフ</t>
    <phoneticPr fontId="2"/>
  </si>
  <si>
    <t>フジスーパールーフ</t>
    <phoneticPr fontId="2"/>
  </si>
  <si>
    <t>砂付SGルーフ</t>
    <rPh sb="0" eb="2">
      <t>スナツキ</t>
    </rPh>
    <phoneticPr fontId="2"/>
  </si>
  <si>
    <t>砂付ミリアシート</t>
    <rPh sb="0" eb="2">
      <t>スナツキ</t>
    </rPh>
    <phoneticPr fontId="2"/>
  </si>
  <si>
    <t>ハイネスシートSW-S（七）</t>
    <rPh sb="12" eb="13">
      <t>シチ</t>
    </rPh>
    <phoneticPr fontId="2"/>
  </si>
  <si>
    <t>ミリアSUルーフ</t>
    <phoneticPr fontId="2"/>
  </si>
  <si>
    <t>ミリアULルーフ</t>
    <phoneticPr fontId="2"/>
  </si>
  <si>
    <t>バリヤーシートシャット</t>
    <phoneticPr fontId="2"/>
  </si>
  <si>
    <t>エクセルルーフ</t>
    <phoneticPr fontId="2"/>
  </si>
  <si>
    <t>タフベント</t>
    <phoneticPr fontId="2"/>
  </si>
  <si>
    <t>砂付ベントルーフ</t>
    <rPh sb="0" eb="2">
      <t>スナツキ</t>
    </rPh>
    <phoneticPr fontId="2"/>
  </si>
  <si>
    <t>フジウルトラルーフ</t>
    <phoneticPr fontId="2"/>
  </si>
  <si>
    <t>スーパーテープW200</t>
    <phoneticPr fontId="2"/>
  </si>
  <si>
    <t>スーパーテープW330</t>
    <phoneticPr fontId="2"/>
  </si>
  <si>
    <t>【新タフネス】</t>
    <rPh sb="1" eb="2">
      <t>シン</t>
    </rPh>
    <phoneticPr fontId="2"/>
  </si>
  <si>
    <t>SSS300HB（A）</t>
    <phoneticPr fontId="2"/>
  </si>
  <si>
    <t>SSS350HB（A）</t>
    <phoneticPr fontId="2"/>
  </si>
  <si>
    <t>NEWフォルテ（A）HB</t>
    <phoneticPr fontId="2"/>
  </si>
  <si>
    <t>ＮＥＷガード（Ａ）</t>
    <phoneticPr fontId="2"/>
  </si>
  <si>
    <t>レクシード250（Ａ）</t>
    <phoneticPr fontId="2"/>
  </si>
  <si>
    <t>プロテクトシート</t>
    <phoneticPr fontId="2"/>
  </si>
  <si>
    <t>アンチルーツガードS</t>
    <phoneticPr fontId="2"/>
  </si>
  <si>
    <t>フジスーパーパーク</t>
    <phoneticPr fontId="2"/>
  </si>
  <si>
    <t>ポリエチレンフィルム</t>
    <phoneticPr fontId="2"/>
  </si>
  <si>
    <t>絶縁クロス</t>
    <rPh sb="0" eb="2">
      <t>ゼツエン</t>
    </rPh>
    <phoneticPr fontId="2"/>
  </si>
  <si>
    <t>【ラピネス】</t>
    <phoneticPr fontId="2"/>
  </si>
  <si>
    <t>ラピネスGR400</t>
    <phoneticPr fontId="2"/>
  </si>
  <si>
    <t>ラピネスSP350</t>
    <phoneticPr fontId="2"/>
  </si>
  <si>
    <t>ラピネスPW250</t>
    <phoneticPr fontId="2"/>
  </si>
  <si>
    <t>ハイネスシートSW-T</t>
    <phoneticPr fontId="2"/>
  </si>
  <si>
    <t>エアーソールフラム</t>
    <phoneticPr fontId="2"/>
  </si>
  <si>
    <t>ラピネステープW200</t>
    <phoneticPr fontId="2"/>
  </si>
  <si>
    <t>ラピネステープW330</t>
    <phoneticPr fontId="2"/>
  </si>
  <si>
    <t>ラピネスGR400M</t>
    <phoneticPr fontId="2"/>
  </si>
  <si>
    <t>ラピネスPW250M</t>
    <phoneticPr fontId="2"/>
  </si>
  <si>
    <t>【ハイネス】</t>
    <phoneticPr fontId="2"/>
  </si>
  <si>
    <t>ハイネスシートNC</t>
    <phoneticPr fontId="2"/>
  </si>
  <si>
    <t>ハイネスTFシート</t>
    <phoneticPr fontId="2"/>
  </si>
  <si>
    <t>MLテープ　12ｍ</t>
    <phoneticPr fontId="2"/>
  </si>
  <si>
    <t>【飛火仕様】</t>
    <rPh sb="1" eb="2">
      <t>ト</t>
    </rPh>
    <rPh sb="2" eb="3">
      <t>ヒ</t>
    </rPh>
    <rPh sb="3" eb="5">
      <t>シヨウ</t>
    </rPh>
    <phoneticPr fontId="2"/>
  </si>
  <si>
    <t>ハイネスシートSW-S</t>
    <phoneticPr fontId="2"/>
  </si>
  <si>
    <t>【網状】</t>
    <rPh sb="1" eb="3">
      <t>モウジョウ</t>
    </rPh>
    <phoneticPr fontId="2"/>
  </si>
  <si>
    <t>網状ルーフW1000</t>
    <rPh sb="0" eb="2">
      <t>モウジョウ</t>
    </rPh>
    <phoneticPr fontId="2"/>
  </si>
  <si>
    <t>網状ルーフW100</t>
    <rPh sb="0" eb="2">
      <t>モウジョウ</t>
    </rPh>
    <phoneticPr fontId="2"/>
  </si>
  <si>
    <t>網状ルーフW150</t>
    <rPh sb="0" eb="2">
      <t>モウジョウ</t>
    </rPh>
    <phoneticPr fontId="2"/>
  </si>
  <si>
    <t>網状ルーフW300</t>
    <rPh sb="0" eb="2">
      <t>モウジョウ</t>
    </rPh>
    <phoneticPr fontId="2"/>
  </si>
  <si>
    <t>【クロスアーマー】</t>
    <phoneticPr fontId="2"/>
  </si>
  <si>
    <t>クロスアーマーベース</t>
    <phoneticPr fontId="2"/>
  </si>
  <si>
    <t>クロスアーマーベースＶ</t>
    <phoneticPr fontId="2"/>
  </si>
  <si>
    <t>クロスアーマーヘッド</t>
    <phoneticPr fontId="2"/>
  </si>
  <si>
    <t>クロスアーマーヘッドV</t>
    <phoneticPr fontId="2"/>
  </si>
  <si>
    <t>クロスアーマーシールド</t>
    <phoneticPr fontId="2"/>
  </si>
  <si>
    <t>クロスアーマーフェイス</t>
    <phoneticPr fontId="2"/>
  </si>
  <si>
    <t>アンダーガード</t>
    <phoneticPr fontId="2"/>
  </si>
  <si>
    <t>クロスアーマーテープW＝200</t>
    <phoneticPr fontId="2"/>
  </si>
  <si>
    <t>クロスアーマーテープW＝300</t>
    <phoneticPr fontId="2"/>
  </si>
  <si>
    <t>【タフネスファイン】</t>
    <phoneticPr fontId="2"/>
  </si>
  <si>
    <t>ファインボンド</t>
    <phoneticPr fontId="2"/>
  </si>
  <si>
    <t>TFプライマー</t>
    <phoneticPr fontId="2"/>
  </si>
  <si>
    <t>TFプライマー（水性）</t>
    <rPh sb="8" eb="10">
      <t>スイセイ</t>
    </rPh>
    <phoneticPr fontId="2"/>
  </si>
  <si>
    <t>TFクロス</t>
    <phoneticPr fontId="2"/>
  </si>
  <si>
    <t>TFクロスW＝100</t>
    <phoneticPr fontId="2"/>
  </si>
  <si>
    <t>タフネスファイン</t>
    <phoneticPr fontId="2"/>
  </si>
  <si>
    <t>ファインシート</t>
    <phoneticPr fontId="2"/>
  </si>
  <si>
    <t>ファイン調整剤</t>
    <rPh sb="4" eb="6">
      <t>チョウセイ</t>
    </rPh>
    <rPh sb="6" eb="7">
      <t>ザイ</t>
    </rPh>
    <phoneticPr fontId="2"/>
  </si>
  <si>
    <t>TFエマルション</t>
    <phoneticPr fontId="2"/>
  </si>
  <si>
    <t>【FLコート】</t>
    <phoneticPr fontId="2"/>
  </si>
  <si>
    <t>FLコート　タイプⅢ（缶）</t>
    <rPh sb="11" eb="12">
      <t>カン</t>
    </rPh>
    <phoneticPr fontId="2"/>
  </si>
  <si>
    <t>FLコート　タイプⅢ（ドラム）</t>
    <phoneticPr fontId="2"/>
  </si>
  <si>
    <t>Uコートバインダー（ドラム）</t>
    <phoneticPr fontId="2"/>
  </si>
  <si>
    <t>Uコートバインダー（缶）</t>
    <rPh sb="10" eb="11">
      <t>カン</t>
    </rPh>
    <phoneticPr fontId="2"/>
  </si>
  <si>
    <t>【特殊品】</t>
    <rPh sb="1" eb="3">
      <t>トクシュ</t>
    </rPh>
    <rPh sb="3" eb="4">
      <t>ヒン</t>
    </rPh>
    <phoneticPr fontId="2"/>
  </si>
  <si>
    <t>タフロン200MSL</t>
    <phoneticPr fontId="2"/>
  </si>
  <si>
    <t>タフサンド</t>
    <phoneticPr fontId="2"/>
  </si>
  <si>
    <t>トスシール</t>
    <phoneticPr fontId="2"/>
  </si>
  <si>
    <t>固定ピン</t>
    <rPh sb="0" eb="2">
      <t>コテイ</t>
    </rPh>
    <phoneticPr fontId="2"/>
  </si>
  <si>
    <t>固定ディスク</t>
    <rPh sb="0" eb="2">
      <t>コテイ</t>
    </rPh>
    <phoneticPr fontId="2"/>
  </si>
  <si>
    <t>特殊ｺｰﾅｰｷｬﾝﾄ</t>
    <rPh sb="0" eb="2">
      <t>トクシュ</t>
    </rPh>
    <phoneticPr fontId="2"/>
  </si>
  <si>
    <t>リカバーボード</t>
    <phoneticPr fontId="2"/>
  </si>
  <si>
    <t>【仕入品】</t>
    <rPh sb="1" eb="3">
      <t>シイレ</t>
    </rPh>
    <rPh sb="3" eb="4">
      <t>ヒン</t>
    </rPh>
    <phoneticPr fontId="2"/>
  </si>
  <si>
    <t>フジクリーン（ｔ）</t>
    <phoneticPr fontId="2"/>
  </si>
  <si>
    <t>アスコンパウンド3種</t>
    <rPh sb="9" eb="10">
      <t>シュ</t>
    </rPh>
    <phoneticPr fontId="2"/>
  </si>
  <si>
    <t>エバーゾールSE</t>
    <phoneticPr fontId="2"/>
  </si>
  <si>
    <t>エバーゾール100</t>
    <phoneticPr fontId="2"/>
  </si>
  <si>
    <t>エバーゾール100P</t>
    <phoneticPr fontId="2"/>
  </si>
  <si>
    <t>エバーゾールS</t>
    <phoneticPr fontId="2"/>
  </si>
  <si>
    <t>エバーゾールS-3</t>
    <phoneticPr fontId="2"/>
  </si>
  <si>
    <t>タフベース</t>
    <phoneticPr fontId="2"/>
  </si>
  <si>
    <t>アスセメント</t>
    <phoneticPr fontId="2"/>
  </si>
  <si>
    <t>ネオファルト</t>
    <phoneticPr fontId="2"/>
  </si>
  <si>
    <t>SKボンド</t>
    <phoneticPr fontId="2"/>
  </si>
  <si>
    <t>フジペースト</t>
    <phoneticPr fontId="2"/>
  </si>
  <si>
    <t>フジマウントコート</t>
    <phoneticPr fontId="2"/>
  </si>
  <si>
    <t>【サルコート】</t>
    <phoneticPr fontId="2"/>
  </si>
  <si>
    <t>UP103</t>
    <phoneticPr fontId="2"/>
  </si>
  <si>
    <t>UP602</t>
    <phoneticPr fontId="2"/>
  </si>
  <si>
    <t>サルコートS</t>
    <phoneticPr fontId="2"/>
  </si>
  <si>
    <t>サルコートN</t>
    <phoneticPr fontId="2"/>
  </si>
  <si>
    <t>フジRBシート</t>
    <phoneticPr fontId="2"/>
  </si>
  <si>
    <t>フジクロスV</t>
    <phoneticPr fontId="2"/>
  </si>
  <si>
    <t>フジクロスGL</t>
    <phoneticPr fontId="2"/>
  </si>
  <si>
    <t>【彩色カバータイト】在庫注意</t>
    <rPh sb="1" eb="3">
      <t>サイショク</t>
    </rPh>
    <rPh sb="10" eb="12">
      <t>ザイコ</t>
    </rPh>
    <rPh sb="12" eb="14">
      <t>チュウイ</t>
    </rPh>
    <phoneticPr fontId="2"/>
  </si>
  <si>
    <t>ナチュラル</t>
    <phoneticPr fontId="2"/>
  </si>
  <si>
    <t>グレー</t>
    <phoneticPr fontId="2"/>
  </si>
  <si>
    <t>グリーン</t>
    <phoneticPr fontId="2"/>
  </si>
  <si>
    <t>ブラウン</t>
    <phoneticPr fontId="2"/>
  </si>
  <si>
    <t>【旧タフネス】</t>
    <rPh sb="1" eb="2">
      <t>キュウ</t>
    </rPh>
    <phoneticPr fontId="2"/>
  </si>
  <si>
    <t>SSS35</t>
    <phoneticPr fontId="2"/>
  </si>
  <si>
    <t>SSS30</t>
    <phoneticPr fontId="2"/>
  </si>
  <si>
    <t>ＮＥＷガード</t>
    <phoneticPr fontId="2"/>
  </si>
  <si>
    <t>NEWフォルテ</t>
    <phoneticPr fontId="2"/>
  </si>
  <si>
    <t>レクシード25</t>
    <phoneticPr fontId="2"/>
  </si>
  <si>
    <t>ベース25</t>
    <phoneticPr fontId="2"/>
  </si>
  <si>
    <t>【土木関係】</t>
    <rPh sb="1" eb="3">
      <t>ドボク</t>
    </rPh>
    <rPh sb="3" eb="5">
      <t>カンケイ</t>
    </rPh>
    <phoneticPr fontId="2"/>
  </si>
  <si>
    <t>フジスーパーシート</t>
    <phoneticPr fontId="2"/>
  </si>
  <si>
    <t>スーパーシートクリーン</t>
    <phoneticPr fontId="2"/>
  </si>
  <si>
    <t>スーパーシートクリーン（カット品）</t>
    <rPh sb="15" eb="16">
      <t>ヒン</t>
    </rPh>
    <phoneticPr fontId="2"/>
  </si>
  <si>
    <t>フジクラックシート</t>
    <phoneticPr fontId="2"/>
  </si>
  <si>
    <r>
      <t>タフシャット</t>
    </r>
    <r>
      <rPr>
        <sz val="11"/>
        <color theme="1"/>
        <rFont val="游ゴシック"/>
        <family val="2"/>
        <charset val="128"/>
      </rPr>
      <t>Ⅰ型</t>
    </r>
    <rPh sb="7" eb="8">
      <t>カタ</t>
    </rPh>
    <phoneticPr fontId="2"/>
  </si>
  <si>
    <t>ハイネスゾール土木用</t>
    <rPh sb="7" eb="10">
      <t>ドボクヨウ</t>
    </rPh>
    <phoneticPr fontId="2"/>
  </si>
  <si>
    <t>ハイネスシートSS32（L）</t>
    <phoneticPr fontId="2"/>
  </si>
  <si>
    <t>ハイネスシートW32</t>
    <phoneticPr fontId="2"/>
  </si>
  <si>
    <t>ハイネスシートW32　W＝500</t>
    <phoneticPr fontId="2"/>
  </si>
  <si>
    <t>ペーブドレーンF（Φ　　）</t>
    <phoneticPr fontId="2"/>
  </si>
  <si>
    <t>【その他】手書き</t>
    <rPh sb="3" eb="4">
      <t>タ</t>
    </rPh>
    <rPh sb="5" eb="7">
      <t>テガ</t>
    </rPh>
    <phoneticPr fontId="2"/>
  </si>
  <si>
    <t>製品番号</t>
    <rPh sb="0" eb="2">
      <t>セイヒン</t>
    </rPh>
    <rPh sb="2" eb="4">
      <t>バンゴウ</t>
    </rPh>
    <phoneticPr fontId="2"/>
  </si>
  <si>
    <t>0027</t>
    <phoneticPr fontId="2"/>
  </si>
  <si>
    <t/>
  </si>
  <si>
    <t>0023</t>
    <phoneticPr fontId="2"/>
  </si>
  <si>
    <t>0029</t>
    <phoneticPr fontId="2"/>
  </si>
  <si>
    <t>1813</t>
    <phoneticPr fontId="2"/>
  </si>
  <si>
    <t>1386</t>
    <phoneticPr fontId="2"/>
  </si>
  <si>
    <t>0034</t>
    <phoneticPr fontId="2"/>
  </si>
  <si>
    <t>0033</t>
    <phoneticPr fontId="2"/>
  </si>
  <si>
    <t>2059</t>
    <phoneticPr fontId="2"/>
  </si>
  <si>
    <t>0026</t>
    <phoneticPr fontId="2"/>
  </si>
  <si>
    <t>0030</t>
    <phoneticPr fontId="2"/>
  </si>
  <si>
    <t>0031</t>
    <phoneticPr fontId="2"/>
  </si>
  <si>
    <t>0022</t>
    <phoneticPr fontId="2"/>
  </si>
  <si>
    <t>0025</t>
    <phoneticPr fontId="2"/>
  </si>
  <si>
    <t>0024</t>
    <phoneticPr fontId="2"/>
  </si>
  <si>
    <t>1665</t>
    <phoneticPr fontId="2"/>
  </si>
  <si>
    <t>1752</t>
    <phoneticPr fontId="2"/>
  </si>
  <si>
    <t>1666</t>
    <phoneticPr fontId="2"/>
  </si>
  <si>
    <t>2049</t>
    <phoneticPr fontId="2"/>
  </si>
  <si>
    <t>0019</t>
    <phoneticPr fontId="2"/>
  </si>
  <si>
    <t>0036</t>
    <phoneticPr fontId="2"/>
  </si>
  <si>
    <t>1428</t>
    <phoneticPr fontId="2"/>
  </si>
  <si>
    <t>1664</t>
    <phoneticPr fontId="2"/>
  </si>
  <si>
    <t>1663</t>
    <phoneticPr fontId="2"/>
  </si>
  <si>
    <t>0208</t>
    <phoneticPr fontId="2"/>
  </si>
  <si>
    <t>0209</t>
    <phoneticPr fontId="2"/>
  </si>
  <si>
    <t>0048</t>
    <phoneticPr fontId="2"/>
  </si>
  <si>
    <t>0050</t>
    <phoneticPr fontId="2"/>
  </si>
  <si>
    <t>0054</t>
    <phoneticPr fontId="2"/>
  </si>
  <si>
    <t>0051</t>
    <phoneticPr fontId="2"/>
  </si>
  <si>
    <t>ハイネスシートSW-T（夏用）</t>
    <rPh sb="12" eb="13">
      <t>ナツ</t>
    </rPh>
    <rPh sb="13" eb="14">
      <t>ヨウ</t>
    </rPh>
    <phoneticPr fontId="2"/>
  </si>
  <si>
    <t>ハイネスシートSW-T（通年用）</t>
    <rPh sb="12" eb="15">
      <t>ツウネンヨウ</t>
    </rPh>
    <phoneticPr fontId="2"/>
  </si>
  <si>
    <t>2061</t>
    <phoneticPr fontId="2"/>
  </si>
  <si>
    <t>2060</t>
    <phoneticPr fontId="2"/>
  </si>
  <si>
    <t>0058</t>
    <phoneticPr fontId="2"/>
  </si>
  <si>
    <t>0053</t>
    <phoneticPr fontId="2"/>
  </si>
  <si>
    <t>0052</t>
    <phoneticPr fontId="2"/>
  </si>
  <si>
    <t>0055</t>
    <phoneticPr fontId="2"/>
  </si>
  <si>
    <t>0056</t>
    <phoneticPr fontId="2"/>
  </si>
  <si>
    <t>ハイネスシートS（東和）</t>
    <rPh sb="9" eb="11">
      <t>トウワ</t>
    </rPh>
    <phoneticPr fontId="2"/>
  </si>
  <si>
    <t>0062</t>
    <phoneticPr fontId="2"/>
  </si>
  <si>
    <t>1385</t>
    <phoneticPr fontId="2"/>
  </si>
  <si>
    <t>ハイネスシートSS（東和）</t>
    <rPh sb="10" eb="12">
      <t>トウワ</t>
    </rPh>
    <phoneticPr fontId="2"/>
  </si>
  <si>
    <t>0064</t>
    <phoneticPr fontId="2"/>
  </si>
  <si>
    <t>ハイネスシートSF（東和）</t>
    <rPh sb="10" eb="12">
      <t>トウワ</t>
    </rPh>
    <phoneticPr fontId="2"/>
  </si>
  <si>
    <t>0066</t>
    <phoneticPr fontId="2"/>
  </si>
  <si>
    <t>ハイネスシートSFⅡ（東和）</t>
    <rPh sb="11" eb="13">
      <t>トウワ</t>
    </rPh>
    <phoneticPr fontId="2"/>
  </si>
  <si>
    <t>0069</t>
    <phoneticPr fontId="2"/>
  </si>
  <si>
    <t>1474</t>
    <phoneticPr fontId="2"/>
  </si>
  <si>
    <t>1442</t>
    <phoneticPr fontId="2"/>
  </si>
  <si>
    <t>ハイネスTFテープ　W200</t>
    <phoneticPr fontId="2"/>
  </si>
  <si>
    <t>1443</t>
    <phoneticPr fontId="2"/>
  </si>
  <si>
    <t>ハイネステープW＝200（東和）</t>
    <rPh sb="13" eb="15">
      <t>トウワ</t>
    </rPh>
    <phoneticPr fontId="2"/>
  </si>
  <si>
    <t>0067</t>
    <phoneticPr fontId="2"/>
  </si>
  <si>
    <t>0070</t>
    <phoneticPr fontId="2"/>
  </si>
  <si>
    <t>1501</t>
    <phoneticPr fontId="2"/>
  </si>
  <si>
    <t>SKシール（カートリッジ）</t>
    <phoneticPr fontId="2"/>
  </si>
  <si>
    <t>0035</t>
    <phoneticPr fontId="2"/>
  </si>
  <si>
    <t>0037</t>
    <phoneticPr fontId="2"/>
  </si>
  <si>
    <t>0057</t>
    <phoneticPr fontId="2"/>
  </si>
  <si>
    <t>0235</t>
    <phoneticPr fontId="2"/>
  </si>
  <si>
    <t>0240</t>
    <phoneticPr fontId="2"/>
  </si>
  <si>
    <t>0238</t>
    <phoneticPr fontId="2"/>
  </si>
  <si>
    <t>0236</t>
    <phoneticPr fontId="2"/>
  </si>
  <si>
    <t>0039</t>
    <phoneticPr fontId="2"/>
  </si>
  <si>
    <t>0040</t>
    <phoneticPr fontId="2"/>
  </si>
  <si>
    <t>0043</t>
    <phoneticPr fontId="2"/>
  </si>
  <si>
    <t>0044</t>
    <phoneticPr fontId="2"/>
  </si>
  <si>
    <t>0045</t>
    <phoneticPr fontId="2"/>
  </si>
  <si>
    <t>1440</t>
    <phoneticPr fontId="2"/>
  </si>
  <si>
    <t>1441</t>
    <phoneticPr fontId="2"/>
  </si>
  <si>
    <t>0042</t>
    <phoneticPr fontId="2"/>
  </si>
  <si>
    <t>0041</t>
    <phoneticPr fontId="2"/>
  </si>
  <si>
    <t>1556</t>
    <phoneticPr fontId="2"/>
  </si>
  <si>
    <t>0077</t>
    <phoneticPr fontId="2"/>
  </si>
  <si>
    <t>0078</t>
    <phoneticPr fontId="2"/>
  </si>
  <si>
    <t>0079</t>
    <phoneticPr fontId="2"/>
  </si>
  <si>
    <t>0080</t>
    <phoneticPr fontId="2"/>
  </si>
  <si>
    <t>1614</t>
    <phoneticPr fontId="2"/>
  </si>
  <si>
    <t>2084</t>
    <phoneticPr fontId="2"/>
  </si>
  <si>
    <t>1593</t>
    <phoneticPr fontId="2"/>
  </si>
  <si>
    <t>0573</t>
    <phoneticPr fontId="2"/>
  </si>
  <si>
    <t>0021</t>
    <phoneticPr fontId="2"/>
  </si>
  <si>
    <t>0157</t>
    <phoneticPr fontId="2"/>
  </si>
  <si>
    <t>0158</t>
    <phoneticPr fontId="2"/>
  </si>
  <si>
    <t>0307</t>
    <phoneticPr fontId="2"/>
  </si>
  <si>
    <t>0308</t>
    <phoneticPr fontId="2"/>
  </si>
  <si>
    <t>1864</t>
    <phoneticPr fontId="2"/>
  </si>
  <si>
    <t>0212</t>
    <phoneticPr fontId="2"/>
  </si>
  <si>
    <t>1502</t>
    <phoneticPr fontId="2"/>
  </si>
  <si>
    <t>1413</t>
    <phoneticPr fontId="2"/>
  </si>
  <si>
    <t>1415</t>
    <phoneticPr fontId="2"/>
  </si>
  <si>
    <t>0102</t>
    <phoneticPr fontId="2"/>
  </si>
  <si>
    <t>1789</t>
    <phoneticPr fontId="2"/>
  </si>
  <si>
    <t>0104</t>
    <phoneticPr fontId="2"/>
  </si>
  <si>
    <t>0098</t>
    <phoneticPr fontId="2"/>
  </si>
  <si>
    <t>0099</t>
    <phoneticPr fontId="2"/>
  </si>
  <si>
    <t>0125</t>
    <phoneticPr fontId="2"/>
  </si>
  <si>
    <t>フジトップカラー　グレー</t>
    <phoneticPr fontId="2"/>
  </si>
  <si>
    <t>0115</t>
    <phoneticPr fontId="2"/>
  </si>
  <si>
    <t>0116</t>
    <phoneticPr fontId="2"/>
  </si>
  <si>
    <t>0121</t>
    <phoneticPr fontId="2"/>
  </si>
  <si>
    <t>0305</t>
    <phoneticPr fontId="2"/>
  </si>
  <si>
    <t>0304</t>
    <phoneticPr fontId="2"/>
  </si>
  <si>
    <t>0306</t>
    <phoneticPr fontId="2"/>
  </si>
  <si>
    <t>1668</t>
    <phoneticPr fontId="2"/>
  </si>
  <si>
    <t>フジクラックシートW500　2入り</t>
    <rPh sb="15" eb="16">
      <t>イ</t>
    </rPh>
    <phoneticPr fontId="2"/>
  </si>
  <si>
    <t>1669</t>
    <phoneticPr fontId="2"/>
  </si>
  <si>
    <t>1670</t>
    <phoneticPr fontId="2"/>
  </si>
  <si>
    <t>フジクラックシートW330　3入り</t>
    <rPh sb="15" eb="16">
      <t>イ</t>
    </rPh>
    <phoneticPr fontId="2"/>
  </si>
  <si>
    <t>0485</t>
    <phoneticPr fontId="2"/>
  </si>
  <si>
    <t>0336</t>
    <phoneticPr fontId="2"/>
  </si>
  <si>
    <t>1506</t>
    <phoneticPr fontId="2"/>
  </si>
  <si>
    <t>0334</t>
    <phoneticPr fontId="2"/>
  </si>
  <si>
    <t>0335</t>
    <phoneticPr fontId="2"/>
  </si>
  <si>
    <t>アルミラーシート　0.7㎜　</t>
    <phoneticPr fontId="2"/>
  </si>
  <si>
    <t>アルミラーシート　1.0㎜</t>
    <phoneticPr fontId="2"/>
  </si>
  <si>
    <t>1382</t>
    <phoneticPr fontId="2"/>
  </si>
  <si>
    <t>1383</t>
    <phoneticPr fontId="2"/>
  </si>
  <si>
    <t>1335</t>
    <phoneticPr fontId="2"/>
  </si>
  <si>
    <t>1336</t>
    <phoneticPr fontId="2"/>
  </si>
  <si>
    <t>1337</t>
    <phoneticPr fontId="2"/>
  </si>
  <si>
    <t>1338</t>
    <phoneticPr fontId="2"/>
  </si>
  <si>
    <t>目地張りｼｰﾄ</t>
    <rPh sb="0" eb="2">
      <t>メジ</t>
    </rPh>
    <rPh sb="2" eb="3">
      <t>バ</t>
    </rPh>
    <phoneticPr fontId="14"/>
  </si>
  <si>
    <t>0442</t>
    <phoneticPr fontId="14"/>
  </si>
  <si>
    <t>本</t>
    <rPh sb="0" eb="1">
      <t>ホン</t>
    </rPh>
    <phoneticPr fontId="14"/>
  </si>
  <si>
    <t>ﾆｰﾄﾞﾌﾙASｼｰﾄ</t>
    <phoneticPr fontId="14"/>
  </si>
  <si>
    <t>ｱｽﾊﾟﾜｰｼｰﾄ他</t>
    <rPh sb="9" eb="10">
      <t>ホカ</t>
    </rPh>
    <phoneticPr fontId="14"/>
  </si>
  <si>
    <t>0454</t>
    <phoneticPr fontId="14"/>
  </si>
  <si>
    <t>ｵｸﾛﾝﾙｰﾌｨﾝｸﾞ</t>
    <phoneticPr fontId="14"/>
  </si>
  <si>
    <t>0471</t>
    <phoneticPr fontId="14"/>
  </si>
  <si>
    <t>ﾃﾄｶｯﾊﾟｰﾙｰﾌｨﾝｸﾞ</t>
    <phoneticPr fontId="14"/>
  </si>
  <si>
    <t>0472</t>
    <phoneticPr fontId="14"/>
  </si>
  <si>
    <t>ｶｯﾊﾟｰﾙｰﾌｨﾝｸﾞ</t>
    <phoneticPr fontId="14"/>
  </si>
  <si>
    <t>0473</t>
    <phoneticPr fontId="14"/>
  </si>
  <si>
    <t>ﾀﾌｼｬｯﾄ 1型</t>
    <rPh sb="8" eb="9">
      <t>ガタ</t>
    </rPh>
    <phoneticPr fontId="14"/>
  </si>
  <si>
    <t>0485</t>
    <phoneticPr fontId="14"/>
  </si>
  <si>
    <t>WGｼｰﾄ（冬型）</t>
    <rPh sb="6" eb="8">
      <t>フユガタ</t>
    </rPh>
    <phoneticPr fontId="14"/>
  </si>
  <si>
    <t>0470</t>
    <phoneticPr fontId="14"/>
  </si>
  <si>
    <t>WGｼｰﾄ（通年型）</t>
    <rPh sb="6" eb="9">
      <t>ツウネンガタ</t>
    </rPh>
    <phoneticPr fontId="14"/>
  </si>
  <si>
    <t>0469</t>
    <phoneticPr fontId="14"/>
  </si>
  <si>
    <t>（四日市工場製造品）</t>
    <phoneticPr fontId="14"/>
  </si>
  <si>
    <t>OEM品</t>
    <rPh sb="3" eb="4">
      <t>ヒン</t>
    </rPh>
    <phoneticPr fontId="14"/>
  </si>
  <si>
    <t>ｔ</t>
    <phoneticPr fontId="14"/>
  </si>
  <si>
    <t>GAｼｰﾙ</t>
    <phoneticPr fontId="14"/>
  </si>
  <si>
    <t>NSP</t>
    <phoneticPr fontId="14"/>
  </si>
  <si>
    <t>0002</t>
    <phoneticPr fontId="14"/>
  </si>
  <si>
    <t xml:space="preserve">ﾌｼﾞｼ-ﾙⅢ号 12.5㎏ </t>
    <phoneticPr fontId="14"/>
  </si>
  <si>
    <t>1753</t>
    <phoneticPr fontId="14"/>
  </si>
  <si>
    <t>大型物件等の早期情報望む</t>
    <rPh sb="0" eb="2">
      <t>オオガタ</t>
    </rPh>
    <rPh sb="2" eb="4">
      <t>ブッケン</t>
    </rPh>
    <rPh sb="4" eb="5">
      <t>トウ</t>
    </rPh>
    <rPh sb="6" eb="8">
      <t>ソウキ</t>
    </rPh>
    <rPh sb="8" eb="10">
      <t>ジョウホウ</t>
    </rPh>
    <rPh sb="10" eb="11">
      <t>ノゾ</t>
    </rPh>
    <phoneticPr fontId="14"/>
  </si>
  <si>
    <t>1666</t>
    <phoneticPr fontId="14"/>
  </si>
  <si>
    <t xml:space="preserve">ﾌｼﾞｼ-ﾙⅡ号A 12.5㎏ </t>
    <phoneticPr fontId="14"/>
  </si>
  <si>
    <t>1752</t>
    <phoneticPr fontId="14"/>
  </si>
  <si>
    <t>1665</t>
    <phoneticPr fontId="14"/>
  </si>
  <si>
    <t>ﾌｼﾞﾛｰﾄﾞｺｰﾄ</t>
    <phoneticPr fontId="14"/>
  </si>
  <si>
    <t>0304</t>
    <phoneticPr fontId="14"/>
  </si>
  <si>
    <t>充　填　品</t>
    <rPh sb="0" eb="1">
      <t>ミツル</t>
    </rPh>
    <rPh sb="2" eb="3">
      <t>テン</t>
    </rPh>
    <rPh sb="4" eb="5">
      <t>ヒン</t>
    </rPh>
    <phoneticPr fontId="14"/>
  </si>
  <si>
    <t>後　半</t>
    <rPh sb="0" eb="1">
      <t>ノチ</t>
    </rPh>
    <rPh sb="2" eb="3">
      <t>ハン</t>
    </rPh>
    <phoneticPr fontId="14"/>
  </si>
  <si>
    <t>前　半</t>
    <rPh sb="0" eb="1">
      <t>マエ</t>
    </rPh>
    <rPh sb="2" eb="3">
      <t>ハン</t>
    </rPh>
    <phoneticPr fontId="14"/>
  </si>
  <si>
    <t>出荷予定日
（担当者）</t>
    <rPh sb="0" eb="2">
      <t>シュッカ</t>
    </rPh>
    <rPh sb="2" eb="5">
      <t>ヨテイビ</t>
    </rPh>
    <rPh sb="7" eb="10">
      <t>タントウシャ</t>
    </rPh>
    <phoneticPr fontId="14"/>
  </si>
  <si>
    <t>数　量</t>
    <rPh sb="0" eb="1">
      <t>カズ</t>
    </rPh>
    <rPh sb="2" eb="3">
      <t>リョウ</t>
    </rPh>
    <phoneticPr fontId="14"/>
  </si>
  <si>
    <t>単位</t>
    <rPh sb="0" eb="2">
      <t>タンイ</t>
    </rPh>
    <phoneticPr fontId="14"/>
  </si>
  <si>
    <t>商　品　名</t>
    <rPh sb="0" eb="1">
      <t>ショウ</t>
    </rPh>
    <rPh sb="2" eb="3">
      <t>ヒン</t>
    </rPh>
    <rPh sb="4" eb="5">
      <t>ナ</t>
    </rPh>
    <phoneticPr fontId="14"/>
  </si>
  <si>
    <t>5/5</t>
    <phoneticPr fontId="14"/>
  </si>
  <si>
    <t>月分 四日市工場取扱品 引取予定表</t>
    <rPh sb="0" eb="1">
      <t>ガツ</t>
    </rPh>
    <rPh sb="1" eb="2">
      <t>ブン</t>
    </rPh>
    <rPh sb="3" eb="6">
      <t>ヨッカイチ</t>
    </rPh>
    <rPh sb="6" eb="8">
      <t>コウジョウ</t>
    </rPh>
    <rPh sb="8" eb="10">
      <t>トリアツカイ</t>
    </rPh>
    <rPh sb="10" eb="11">
      <t>ヒン</t>
    </rPh>
    <rPh sb="12" eb="14">
      <t>ヒキトリ</t>
    </rPh>
    <rPh sb="14" eb="17">
      <t>ヨテイヒョウ</t>
    </rPh>
    <phoneticPr fontId="14"/>
  </si>
  <si>
    <t>0018</t>
    <phoneticPr fontId="2"/>
  </si>
  <si>
    <t>0012</t>
    <phoneticPr fontId="2"/>
  </si>
  <si>
    <t>0011</t>
    <phoneticPr fontId="2"/>
  </si>
  <si>
    <t>0005</t>
    <phoneticPr fontId="2"/>
  </si>
  <si>
    <t>0003</t>
    <phoneticPr fontId="2"/>
  </si>
  <si>
    <t>※業務課は確認後、保管する。</t>
    <rPh sb="1" eb="4">
      <t>ギョウムカ</t>
    </rPh>
    <rPh sb="5" eb="7">
      <t>カクニン</t>
    </rPh>
    <rPh sb="7" eb="8">
      <t>ゴ</t>
    </rPh>
    <rPh sb="9" eb="11">
      <t>ホカン</t>
    </rPh>
    <phoneticPr fontId="14"/>
  </si>
  <si>
    <t>4/5</t>
    <phoneticPr fontId="14"/>
  </si>
  <si>
    <t>Set</t>
    <phoneticPr fontId="14"/>
  </si>
  <si>
    <t xml:space="preserve">ｶﾞ-ﾄﾞﾃ-ﾌﾟA(W200) </t>
    <phoneticPr fontId="14"/>
  </si>
  <si>
    <t>1664</t>
    <phoneticPr fontId="14"/>
  </si>
  <si>
    <t xml:space="preserve">ｶﾞ-ﾄﾞﾃ-ﾌﾟA(W330) </t>
    <phoneticPr fontId="14"/>
  </si>
  <si>
    <t>1663</t>
    <phoneticPr fontId="14"/>
  </si>
  <si>
    <t>ﾊｲﾈｽｼｰﾄTFﾃｰﾌﾟ W=200</t>
    <phoneticPr fontId="14"/>
  </si>
  <si>
    <t>1443</t>
    <phoneticPr fontId="14"/>
  </si>
  <si>
    <t>ｸﾛｽｱｰﾏｰﾃｰﾌﾟ W=200</t>
    <phoneticPr fontId="14"/>
  </si>
  <si>
    <t>0042</t>
    <phoneticPr fontId="14"/>
  </si>
  <si>
    <t>ｸﾛｽｱｰﾏｰﾃｰﾌﾟ W=300</t>
    <phoneticPr fontId="14"/>
  </si>
  <si>
    <t>0041</t>
    <phoneticPr fontId="14"/>
  </si>
  <si>
    <t>ﾗﾋﾟﾈｽﾃｰﾌﾟ W=200</t>
    <phoneticPr fontId="14"/>
  </si>
  <si>
    <t>0053</t>
    <phoneticPr fontId="14"/>
  </si>
  <si>
    <t>ﾗﾋﾟﾈｽﾃｰﾌﾟ W=330</t>
    <phoneticPr fontId="14"/>
  </si>
  <si>
    <t>0052</t>
    <phoneticPr fontId="14"/>
  </si>
  <si>
    <t>ｽｰﾊﾟｰﾃｰﾌﾟ W=200</t>
    <phoneticPr fontId="14"/>
  </si>
  <si>
    <t>0025</t>
    <phoneticPr fontId="14"/>
  </si>
  <si>
    <t>ｽｰﾊﾟｰﾃｰﾌﾟ W=330</t>
    <phoneticPr fontId="14"/>
  </si>
  <si>
    <t>0024</t>
    <phoneticPr fontId="14"/>
  </si>
  <si>
    <t>【カット品】</t>
    <rPh sb="4" eb="5">
      <t>ヒン</t>
    </rPh>
    <phoneticPr fontId="14"/>
  </si>
  <si>
    <t>ﾊｲﾈｽｼｰﾄSW-T(通年用)</t>
    <rPh sb="12" eb="14">
      <t>ツウネン</t>
    </rPh>
    <rPh sb="14" eb="15">
      <t>ヨウ</t>
    </rPh>
    <phoneticPr fontId="14"/>
  </si>
  <si>
    <t>2060</t>
    <phoneticPr fontId="14"/>
  </si>
  <si>
    <t>ﾗﾋﾟﾈｽｼｰﾄPW250M</t>
    <phoneticPr fontId="14"/>
  </si>
  <si>
    <t>0056</t>
    <phoneticPr fontId="14"/>
  </si>
  <si>
    <t>ﾗﾋﾟﾈｽｼｰﾄGR400M</t>
    <phoneticPr fontId="14"/>
  </si>
  <si>
    <t>0055</t>
    <phoneticPr fontId="14"/>
  </si>
  <si>
    <t>ﾗﾋﾟﾈｽPW300</t>
    <phoneticPr fontId="14"/>
  </si>
  <si>
    <t>0054</t>
    <phoneticPr fontId="14"/>
  </si>
  <si>
    <t>ﾗﾋﾟﾈｽPW250</t>
    <phoneticPr fontId="14"/>
  </si>
  <si>
    <t>0051</t>
    <phoneticPr fontId="14"/>
  </si>
  <si>
    <t>ﾗﾋﾟﾈｽSP350</t>
    <phoneticPr fontId="14"/>
  </si>
  <si>
    <t>0050</t>
    <phoneticPr fontId="14"/>
  </si>
  <si>
    <t>ﾗﾋﾟﾈｽGR400 ｸﾞﾘｰﾝ</t>
    <phoneticPr fontId="14"/>
  </si>
  <si>
    <t>0049</t>
    <phoneticPr fontId="14"/>
  </si>
  <si>
    <t>ﾗﾋﾟﾈｽGR400</t>
    <phoneticPr fontId="14"/>
  </si>
  <si>
    <t>0048</t>
    <phoneticPr fontId="14"/>
  </si>
  <si>
    <t>3/5</t>
    <phoneticPr fontId="14"/>
  </si>
  <si>
    <t>ﾐﾘｱULﾙｰﾌ</t>
    <phoneticPr fontId="14"/>
  </si>
  <si>
    <t>0033</t>
    <phoneticPr fontId="14"/>
  </si>
  <si>
    <t>1813</t>
    <phoneticPr fontId="14"/>
  </si>
  <si>
    <t>ﾐﾘｱSUﾙｰﾌ</t>
    <phoneticPr fontId="14"/>
  </si>
  <si>
    <t>0034</t>
    <phoneticPr fontId="14"/>
  </si>
  <si>
    <t>ﾀﾌﾍﾞﾝﾄ</t>
    <phoneticPr fontId="14"/>
  </si>
  <si>
    <t>0030</t>
    <phoneticPr fontId="14"/>
  </si>
  <si>
    <t>0029</t>
    <phoneticPr fontId="14"/>
  </si>
  <si>
    <t>ｱｽﾌｧﾙﾄﾙｰﾌ</t>
    <phoneticPr fontId="14"/>
  </si>
  <si>
    <t>0027</t>
    <phoneticPr fontId="14"/>
  </si>
  <si>
    <t>ｴｸｾﾙﾙｰﾌ</t>
    <phoneticPr fontId="14"/>
  </si>
  <si>
    <t>0026</t>
    <phoneticPr fontId="14"/>
  </si>
  <si>
    <t>ﾌｼﾞｽｰﾊﾟｰﾙｰﾌ</t>
    <phoneticPr fontId="14"/>
  </si>
  <si>
    <t>0023</t>
    <phoneticPr fontId="14"/>
  </si>
  <si>
    <t>0022</t>
    <phoneticPr fontId="14"/>
  </si>
  <si>
    <t>ﾊｲﾈｽｼｰﾄSW-T (飛び火用)</t>
    <rPh sb="13" eb="14">
      <t>ト</t>
    </rPh>
    <rPh sb="15" eb="16">
      <t>ヒ</t>
    </rPh>
    <rPh sb="16" eb="17">
      <t>ヨウ</t>
    </rPh>
    <phoneticPr fontId="14"/>
  </si>
  <si>
    <t>0057</t>
    <phoneticPr fontId="14"/>
  </si>
  <si>
    <t>ﾊｲﾈｽｼｰﾄSW-S(飛び火用)</t>
    <rPh sb="12" eb="13">
      <t>ト</t>
    </rPh>
    <rPh sb="14" eb="15">
      <t>ヒ</t>
    </rPh>
    <rPh sb="15" eb="16">
      <t>ヨウ</t>
    </rPh>
    <phoneticPr fontId="14"/>
  </si>
  <si>
    <t>0037</t>
    <phoneticPr fontId="14"/>
  </si>
  <si>
    <t>2059</t>
    <phoneticPr fontId="14"/>
  </si>
  <si>
    <t>ﾚｸｼ-ﾄﾞ250</t>
    <phoneticPr fontId="14"/>
  </si>
  <si>
    <t xml:space="preserve">ﾀﾌﾈｽ NEWｶﾞ-ﾄﾞA </t>
    <phoneticPr fontId="14"/>
  </si>
  <si>
    <t xml:space="preserve">NEWﾌｫﾙﾃA HB </t>
    <phoneticPr fontId="14"/>
  </si>
  <si>
    <t xml:space="preserve">SSS300 HB </t>
    <phoneticPr fontId="14"/>
  </si>
  <si>
    <t xml:space="preserve">SSS350 HB </t>
    <phoneticPr fontId="14"/>
  </si>
  <si>
    <t>【新タフネス】</t>
    <rPh sb="1" eb="2">
      <t>シン</t>
    </rPh>
    <phoneticPr fontId="14"/>
  </si>
  <si>
    <t>2/5</t>
    <phoneticPr fontId="14"/>
  </si>
  <si>
    <t>昭石化工株式会社</t>
  </si>
  <si>
    <t>巻</t>
    <rPh sb="0" eb="1">
      <t>マキ</t>
    </rPh>
    <phoneticPr fontId="14"/>
  </si>
  <si>
    <t>1670</t>
  </si>
  <si>
    <t>1669</t>
  </si>
  <si>
    <t>ﾌｼﾞｸﾗｯｸｼｰﾄ（基材変更品）</t>
    <rPh sb="11" eb="13">
      <t>キザイ</t>
    </rPh>
    <rPh sb="13" eb="16">
      <t>ヘンコウヒン</t>
    </rPh>
    <phoneticPr fontId="14"/>
  </si>
  <si>
    <t>1668</t>
    <phoneticPr fontId="14"/>
  </si>
  <si>
    <t>0305</t>
    <phoneticPr fontId="14"/>
  </si>
  <si>
    <t>0036</t>
    <phoneticPr fontId="14"/>
  </si>
  <si>
    <t>ﾊｲﾈｽｼｰﾄSS32</t>
    <phoneticPr fontId="14"/>
  </si>
  <si>
    <t>1506</t>
    <phoneticPr fontId="14"/>
  </si>
  <si>
    <t>0019</t>
    <phoneticPr fontId="14"/>
  </si>
  <si>
    <t>1614</t>
    <phoneticPr fontId="14"/>
  </si>
  <si>
    <t>ﾊｲﾈｽｼｰﾄNC</t>
    <phoneticPr fontId="14"/>
  </si>
  <si>
    <t>1474</t>
    <phoneticPr fontId="14"/>
  </si>
  <si>
    <t>ﾊｲﾈｽTFｼｰﾄ</t>
    <phoneticPr fontId="14"/>
  </si>
  <si>
    <t>1442</t>
    <phoneticPr fontId="14"/>
  </si>
  <si>
    <t>ﾊﾞﾘﾔｼｰﾄｼｬｯﾄ</t>
    <phoneticPr fontId="14"/>
  </si>
  <si>
    <t>0028</t>
    <phoneticPr fontId="14"/>
  </si>
  <si>
    <t>ｱﾝﾀﾞｰｶﾞｰﾄﾞ</t>
    <phoneticPr fontId="14"/>
  </si>
  <si>
    <t>1441</t>
    <phoneticPr fontId="14"/>
  </si>
  <si>
    <t>1440</t>
    <phoneticPr fontId="14"/>
  </si>
  <si>
    <t>ｸﾛｽｱｰﾏｰｼｰﾙﾄﾞ</t>
    <phoneticPr fontId="14"/>
  </si>
  <si>
    <t>0045</t>
    <phoneticPr fontId="14"/>
  </si>
  <si>
    <t>ｸﾛｽｱｰﾏｰﾍｯﾄﾞV</t>
    <phoneticPr fontId="14"/>
  </si>
  <si>
    <t>0044</t>
    <phoneticPr fontId="14"/>
  </si>
  <si>
    <t>ｸﾛｽｱｰﾏｰﾍｯﾄﾞ</t>
    <phoneticPr fontId="14"/>
  </si>
  <si>
    <t>0043</t>
    <phoneticPr fontId="14"/>
  </si>
  <si>
    <t>ｸﾛｽｱｰﾏｰﾍﾞｰｽV</t>
    <phoneticPr fontId="14"/>
  </si>
  <si>
    <t>0040</t>
    <phoneticPr fontId="14"/>
  </si>
  <si>
    <t>ｸﾛｽｱｰﾏｰﾍﾞｰｽ</t>
    <phoneticPr fontId="14"/>
  </si>
  <si>
    <t>0039</t>
    <phoneticPr fontId="14"/>
  </si>
  <si>
    <t>後　半</t>
  </si>
  <si>
    <t>前　半</t>
  </si>
  <si>
    <t>備　考
コンビテナー積込みは要記載</t>
  </si>
  <si>
    <t>出荷予定日
（担当者）</t>
  </si>
  <si>
    <t>数　量</t>
  </si>
  <si>
    <t>四工</t>
    <rPh sb="0" eb="1">
      <t>ヨン</t>
    </rPh>
    <rPh sb="1" eb="2">
      <t>コウ</t>
    </rPh>
    <phoneticPr fontId="14"/>
  </si>
  <si>
    <t>担当者</t>
    <rPh sb="0" eb="3">
      <t>タントウシャ</t>
    </rPh>
    <phoneticPr fontId="14"/>
  </si>
  <si>
    <t>承認者</t>
    <rPh sb="0" eb="3">
      <t>ショウニンシャ</t>
    </rPh>
    <phoneticPr fontId="14"/>
  </si>
  <si>
    <t>（工場長）</t>
    <rPh sb="1" eb="4">
      <t>コウジョウチョウ</t>
    </rPh>
    <phoneticPr fontId="14"/>
  </si>
  <si>
    <t>業務課</t>
    <rPh sb="0" eb="3">
      <t>ギョウムカ</t>
    </rPh>
    <phoneticPr fontId="14"/>
  </si>
  <si>
    <t>製造課</t>
    <rPh sb="0" eb="2">
      <t>セイゾウ</t>
    </rPh>
    <rPh sb="2" eb="3">
      <t>カ</t>
    </rPh>
    <phoneticPr fontId="14"/>
  </si>
  <si>
    <t>CCｾﾝﾀｰ長</t>
    <rPh sb="6" eb="7">
      <t>チョウ</t>
    </rPh>
    <phoneticPr fontId="14"/>
  </si>
  <si>
    <t>CC</t>
    <phoneticPr fontId="14"/>
  </si>
  <si>
    <t>1/5</t>
    <phoneticPr fontId="14"/>
  </si>
  <si>
    <t>販売現業所→カスタマーセンター→四日市工場</t>
    <rPh sb="0" eb="2">
      <t>ハンバイ</t>
    </rPh>
    <rPh sb="2" eb="4">
      <t>ゲンギョウ</t>
    </rPh>
    <rPh sb="4" eb="5">
      <t>ショ</t>
    </rPh>
    <rPh sb="16" eb="19">
      <t>ヨッカイチ</t>
    </rPh>
    <rPh sb="19" eb="21">
      <t>コウジョウ</t>
    </rPh>
    <phoneticPr fontId="14"/>
  </si>
  <si>
    <t>昭石化工株式会社</t>
    <rPh sb="0" eb="2">
      <t>ショウセキ</t>
    </rPh>
    <rPh sb="2" eb="4">
      <t>カコウ</t>
    </rPh>
    <rPh sb="4" eb="8">
      <t>カブシキガイシャ</t>
    </rPh>
    <phoneticPr fontId="14"/>
  </si>
  <si>
    <t>箱</t>
    <rPh sb="0" eb="1">
      <t>ハコ</t>
    </rPh>
    <phoneticPr fontId="14"/>
  </si>
  <si>
    <t>備考</t>
    <rPh sb="0" eb="2">
      <t>ビコウ</t>
    </rPh>
    <phoneticPr fontId="14"/>
  </si>
  <si>
    <t>月分 その他新商品等必要に応じて記入（提出日：前月20日必着）</t>
    <rPh sb="0" eb="1">
      <t>ガツ</t>
    </rPh>
    <rPh sb="1" eb="2">
      <t>ブン</t>
    </rPh>
    <rPh sb="5" eb="6">
      <t>タ</t>
    </rPh>
    <rPh sb="6" eb="9">
      <t>シンショウヒン</t>
    </rPh>
    <rPh sb="9" eb="10">
      <t>トウ</t>
    </rPh>
    <rPh sb="10" eb="12">
      <t>ヒツヨウ</t>
    </rPh>
    <rPh sb="13" eb="14">
      <t>オウ</t>
    </rPh>
    <rPh sb="16" eb="18">
      <t>キニュウ</t>
    </rPh>
    <rPh sb="19" eb="21">
      <t>テイシュツ</t>
    </rPh>
    <rPh sb="21" eb="22">
      <t>ビ</t>
    </rPh>
    <rPh sb="23" eb="25">
      <t>ゼンゲツ</t>
    </rPh>
    <rPh sb="27" eb="28">
      <t>ニチ</t>
    </rPh>
    <rPh sb="28" eb="30">
      <t>ヒッチャク</t>
    </rPh>
    <phoneticPr fontId="14"/>
  </si>
  <si>
    <t>アスパワープライムＳ－３</t>
    <phoneticPr fontId="14"/>
  </si>
  <si>
    <t>0478</t>
    <phoneticPr fontId="14"/>
  </si>
  <si>
    <t>プライマーAS</t>
    <phoneticPr fontId="14"/>
  </si>
  <si>
    <t>0494</t>
    <phoneticPr fontId="14"/>
  </si>
  <si>
    <t>D/M</t>
    <phoneticPr fontId="14"/>
  </si>
  <si>
    <t>AR-Z　190㎏</t>
    <phoneticPr fontId="14"/>
  </si>
  <si>
    <t>缶</t>
    <rPh sb="0" eb="1">
      <t>カン</t>
    </rPh>
    <phoneticPr fontId="14"/>
  </si>
  <si>
    <t>タイプ3　16㎏</t>
    <phoneticPr fontId="14"/>
  </si>
  <si>
    <t>タイプ3　190㎏</t>
    <phoneticPr fontId="14"/>
  </si>
  <si>
    <t>硬化促進剤</t>
    <rPh sb="0" eb="5">
      <t>コウカソクシンザイ</t>
    </rPh>
    <phoneticPr fontId="14"/>
  </si>
  <si>
    <t>0139</t>
    <phoneticPr fontId="14"/>
  </si>
  <si>
    <t>ﾀﾞﾚ止め剤</t>
    <rPh sb="3" eb="4">
      <t>ド</t>
    </rPh>
    <rPh sb="5" eb="6">
      <t>ザイ</t>
    </rPh>
    <phoneticPr fontId="14"/>
  </si>
  <si>
    <t>0138</t>
    <phoneticPr fontId="14"/>
  </si>
  <si>
    <t>フジＲＢテープ</t>
    <phoneticPr fontId="14"/>
  </si>
  <si>
    <t>0116</t>
    <phoneticPr fontId="14"/>
  </si>
  <si>
    <t>フジＲＢシート</t>
    <phoneticPr fontId="14"/>
  </si>
  <si>
    <t>0115</t>
    <phoneticPr fontId="14"/>
  </si>
  <si>
    <t>ファインボンド</t>
    <phoneticPr fontId="14"/>
  </si>
  <si>
    <t>1556</t>
    <phoneticPr fontId="14"/>
  </si>
  <si>
    <t>アルミペイント</t>
    <phoneticPr fontId="14"/>
  </si>
  <si>
    <t>ＴＦカラー 特注色</t>
    <rPh sb="6" eb="9">
      <t>トクチュウショク</t>
    </rPh>
    <phoneticPr fontId="14"/>
  </si>
  <si>
    <t>1312</t>
    <phoneticPr fontId="14"/>
  </si>
  <si>
    <t>ＴＦクール</t>
    <phoneticPr fontId="14"/>
  </si>
  <si>
    <t>0091～</t>
    <phoneticPr fontId="14"/>
  </si>
  <si>
    <t>ST</t>
    <phoneticPr fontId="14"/>
  </si>
  <si>
    <t>ＴＦコート</t>
    <phoneticPr fontId="14"/>
  </si>
  <si>
    <t>0087～</t>
    <phoneticPr fontId="14"/>
  </si>
  <si>
    <t>ＴＦカラー</t>
    <phoneticPr fontId="14"/>
  </si>
  <si>
    <t>0085～</t>
    <phoneticPr fontId="14"/>
  </si>
  <si>
    <t>ファイン調整剤</t>
    <rPh sb="4" eb="6">
      <t>チョウセイ</t>
    </rPh>
    <rPh sb="6" eb="7">
      <t>ザイ</t>
    </rPh>
    <phoneticPr fontId="14"/>
  </si>
  <si>
    <t>2084</t>
    <phoneticPr fontId="14"/>
  </si>
  <si>
    <t>ＴＦエマルション</t>
    <phoneticPr fontId="14"/>
  </si>
  <si>
    <t>ＴＦクロス W100</t>
    <phoneticPr fontId="14"/>
  </si>
  <si>
    <t>0080</t>
    <phoneticPr fontId="14"/>
  </si>
  <si>
    <t>ＴＦクロス</t>
    <phoneticPr fontId="14"/>
  </si>
  <si>
    <t>0079</t>
    <phoneticPr fontId="14"/>
  </si>
  <si>
    <t>ＴＦプライマー（水性）</t>
    <rPh sb="8" eb="10">
      <t>スイセイ</t>
    </rPh>
    <phoneticPr fontId="14"/>
  </si>
  <si>
    <t>0078</t>
    <phoneticPr fontId="14"/>
  </si>
  <si>
    <t>ＴＦプライマー</t>
    <phoneticPr fontId="14"/>
  </si>
  <si>
    <t>0077</t>
    <phoneticPr fontId="14"/>
  </si>
  <si>
    <t>タフネスファイン</t>
    <phoneticPr fontId="14"/>
  </si>
  <si>
    <t>月分 Ｔファイン・ＦＬ 引取予定表（提出日：前月20日必着）</t>
    <rPh sb="0" eb="1">
      <t>ガツ</t>
    </rPh>
    <rPh sb="1" eb="2">
      <t>ブン</t>
    </rPh>
    <rPh sb="12" eb="14">
      <t>ヒキトリ</t>
    </rPh>
    <rPh sb="14" eb="17">
      <t>ヨテイヒョウ</t>
    </rPh>
    <rPh sb="18" eb="20">
      <t>テイシュツ</t>
    </rPh>
    <rPh sb="20" eb="21">
      <t>ビ</t>
    </rPh>
    <rPh sb="22" eb="24">
      <t>ゼンゲツ</t>
    </rPh>
    <rPh sb="26" eb="27">
      <t>ニチ</t>
    </rPh>
    <rPh sb="27" eb="29">
      <t>ヒッチャク</t>
    </rPh>
    <phoneticPr fontId="14"/>
  </si>
  <si>
    <t>網状ルーフ Ｗ300</t>
    <rPh sb="0" eb="2">
      <t>モウジョウ</t>
    </rPh>
    <phoneticPr fontId="14"/>
  </si>
  <si>
    <t>0236</t>
    <phoneticPr fontId="14"/>
  </si>
  <si>
    <t>網状ルーフ Ｗ150</t>
    <rPh sb="0" eb="2">
      <t>モウジョウ</t>
    </rPh>
    <phoneticPr fontId="14"/>
  </si>
  <si>
    <t>0238</t>
    <phoneticPr fontId="14"/>
  </si>
  <si>
    <t>網状ルーフ Ｗ100</t>
    <rPh sb="0" eb="2">
      <t>モウジョウ</t>
    </rPh>
    <phoneticPr fontId="14"/>
  </si>
  <si>
    <t>0240</t>
    <phoneticPr fontId="14"/>
  </si>
  <si>
    <t>網状ルーフ</t>
    <rPh sb="0" eb="2">
      <t>モウジョウ</t>
    </rPh>
    <phoneticPr fontId="14"/>
  </si>
  <si>
    <t>0235</t>
    <phoneticPr fontId="14"/>
  </si>
  <si>
    <t>目地テープ</t>
    <rPh sb="0" eb="2">
      <t>メジ</t>
    </rPh>
    <phoneticPr fontId="14"/>
  </si>
  <si>
    <t>0649</t>
    <phoneticPr fontId="14"/>
  </si>
  <si>
    <t>スーパーシートクリーン</t>
    <phoneticPr fontId="14"/>
  </si>
  <si>
    <t>0306</t>
    <phoneticPr fontId="14"/>
  </si>
  <si>
    <t>MLﾃｰﾌﾟ</t>
    <phoneticPr fontId="14"/>
  </si>
  <si>
    <t>0070</t>
    <phoneticPr fontId="14"/>
  </si>
  <si>
    <t>砂付きベントルーフ</t>
    <rPh sb="0" eb="1">
      <t>スナ</t>
    </rPh>
    <rPh sb="1" eb="2">
      <t>ツ</t>
    </rPh>
    <phoneticPr fontId="14"/>
  </si>
  <si>
    <t>0031</t>
    <phoneticPr fontId="14"/>
  </si>
  <si>
    <t>絶縁クロス</t>
    <rPh sb="0" eb="2">
      <t>ゼツエン</t>
    </rPh>
    <phoneticPr fontId="14"/>
  </si>
  <si>
    <t>0209</t>
    <phoneticPr fontId="14"/>
  </si>
  <si>
    <t>ポリエチレンフィルム</t>
    <phoneticPr fontId="14"/>
  </si>
  <si>
    <t>0208</t>
    <phoneticPr fontId="14"/>
  </si>
  <si>
    <t>フジシート 高 10×1ⅿ</t>
    <rPh sb="6" eb="7">
      <t>コウ</t>
    </rPh>
    <phoneticPr fontId="14"/>
  </si>
  <si>
    <t>0319～</t>
    <phoneticPr fontId="14"/>
  </si>
  <si>
    <t>ペープドレーンF</t>
    <phoneticPr fontId="14"/>
  </si>
  <si>
    <t>ペープドレーンΦ30</t>
    <phoneticPr fontId="14"/>
  </si>
  <si>
    <t>1338</t>
    <phoneticPr fontId="14"/>
  </si>
  <si>
    <t>ペープドレーンΦ20</t>
    <phoneticPr fontId="14"/>
  </si>
  <si>
    <t>1337</t>
    <phoneticPr fontId="14"/>
  </si>
  <si>
    <t>ペープドレーンΦ15</t>
    <phoneticPr fontId="14"/>
  </si>
  <si>
    <t>1336</t>
    <phoneticPr fontId="14"/>
  </si>
  <si>
    <t>ペープドレーンΦ10</t>
    <phoneticPr fontId="14"/>
  </si>
  <si>
    <t>1335</t>
    <phoneticPr fontId="14"/>
  </si>
  <si>
    <t>エアーソールフラム 40ⅿ</t>
    <phoneticPr fontId="14"/>
  </si>
  <si>
    <t>0058</t>
    <phoneticPr fontId="14"/>
  </si>
  <si>
    <t>（OEM・仕入品）</t>
    <rPh sb="5" eb="7">
      <t>シイ</t>
    </rPh>
    <rPh sb="7" eb="8">
      <t>ヒン</t>
    </rPh>
    <phoneticPr fontId="14"/>
  </si>
  <si>
    <t>カスタマーセンター</t>
    <phoneticPr fontId="14"/>
  </si>
  <si>
    <t>月分 OEM・仕入品 引取予定表（提出日：前月20日必着）</t>
    <rPh sb="0" eb="1">
      <t>ガツ</t>
    </rPh>
    <rPh sb="1" eb="2">
      <t>ブン</t>
    </rPh>
    <rPh sb="7" eb="9">
      <t>シイ</t>
    </rPh>
    <rPh sb="9" eb="10">
      <t>ヒン</t>
    </rPh>
    <rPh sb="11" eb="13">
      <t>ヒキトリ</t>
    </rPh>
    <rPh sb="13" eb="16">
      <t>ヨテイヒョウ</t>
    </rPh>
    <rPh sb="17" eb="19">
      <t>テイシュツ</t>
    </rPh>
    <rPh sb="19" eb="20">
      <t>ビ</t>
    </rPh>
    <rPh sb="21" eb="23">
      <t>ゼンゲツ</t>
    </rPh>
    <rPh sb="25" eb="26">
      <t>ニチ</t>
    </rPh>
    <rPh sb="26" eb="28">
      <t>ヒッチャク</t>
    </rPh>
    <phoneticPr fontId="14"/>
  </si>
  <si>
    <t>ダンガード</t>
    <phoneticPr fontId="14"/>
  </si>
  <si>
    <t>1428</t>
    <phoneticPr fontId="14"/>
  </si>
  <si>
    <t>ハイネスシートＳＷ－Ｓ</t>
    <phoneticPr fontId="14"/>
  </si>
  <si>
    <t>1386</t>
    <phoneticPr fontId="14"/>
  </si>
  <si>
    <t>アルミラーシート1.0㎜</t>
    <phoneticPr fontId="14"/>
  </si>
  <si>
    <t>1383</t>
    <phoneticPr fontId="14"/>
  </si>
  <si>
    <t>アルミラーシート0.7㎜</t>
    <phoneticPr fontId="14"/>
  </si>
  <si>
    <t>1382</t>
    <phoneticPr fontId="14"/>
  </si>
  <si>
    <t>ハイネステープ Ｗ200</t>
    <phoneticPr fontId="14"/>
  </si>
  <si>
    <t>0067</t>
    <phoneticPr fontId="14"/>
  </si>
  <si>
    <t>ハイネスW32(W500)</t>
    <phoneticPr fontId="14"/>
  </si>
  <si>
    <t>0335</t>
    <phoneticPr fontId="14"/>
  </si>
  <si>
    <t>ハイネスW32</t>
    <phoneticPr fontId="14"/>
  </si>
  <si>
    <t>0334</t>
    <phoneticPr fontId="14"/>
  </si>
  <si>
    <t>ハイネスシートSFⅡ 16ⅿ</t>
    <phoneticPr fontId="14"/>
  </si>
  <si>
    <t>0069</t>
    <phoneticPr fontId="14"/>
  </si>
  <si>
    <t>ハイネスシートSF 16ⅿ</t>
    <phoneticPr fontId="14"/>
  </si>
  <si>
    <t>0066</t>
    <phoneticPr fontId="14"/>
  </si>
  <si>
    <t>ハイネスシートSS</t>
    <phoneticPr fontId="14"/>
  </si>
  <si>
    <t>0064</t>
    <phoneticPr fontId="14"/>
  </si>
  <si>
    <t>〃</t>
    <phoneticPr fontId="14"/>
  </si>
  <si>
    <t>フジクロスＫ Ｗ100</t>
    <phoneticPr fontId="14"/>
  </si>
  <si>
    <t>0122</t>
    <phoneticPr fontId="14"/>
  </si>
  <si>
    <t>フジクロスＫ</t>
    <phoneticPr fontId="14"/>
  </si>
  <si>
    <t>0121</t>
    <phoneticPr fontId="14"/>
  </si>
  <si>
    <t>UP103</t>
    <phoneticPr fontId="14"/>
  </si>
  <si>
    <t>UP602 17kg・4kg</t>
    <phoneticPr fontId="14"/>
  </si>
  <si>
    <t>0104</t>
    <phoneticPr fontId="14"/>
  </si>
  <si>
    <t>UP102</t>
    <phoneticPr fontId="14"/>
  </si>
  <si>
    <t>0102</t>
    <phoneticPr fontId="14"/>
  </si>
  <si>
    <t>ﾌｼﾞﾄｯﾌﾟｶﾗｰ 特注色 14kg</t>
    <rPh sb="11" eb="13">
      <t>トクチュウ</t>
    </rPh>
    <rPh sb="13" eb="14">
      <t>ショク</t>
    </rPh>
    <phoneticPr fontId="14"/>
  </si>
  <si>
    <t>0127</t>
    <phoneticPr fontId="14"/>
  </si>
  <si>
    <t>ﾌｼﾞﾄｯﾌﾟｶﾗｰ ｸﾞﾚｰ 14㎏</t>
    <phoneticPr fontId="14"/>
  </si>
  <si>
    <t>0125</t>
    <phoneticPr fontId="14"/>
  </si>
  <si>
    <t>サルコート・エコＥＣ-Ｎ</t>
    <phoneticPr fontId="14"/>
  </si>
  <si>
    <t>0101</t>
    <phoneticPr fontId="14"/>
  </si>
  <si>
    <t>サルコート・エコＥＣ-Ｓ</t>
    <phoneticPr fontId="14"/>
  </si>
  <si>
    <t>0100</t>
    <phoneticPr fontId="14"/>
  </si>
  <si>
    <t>サルコートＮ</t>
    <phoneticPr fontId="14"/>
  </si>
  <si>
    <t>0099</t>
    <phoneticPr fontId="14"/>
  </si>
  <si>
    <t>サルコートＳ</t>
    <phoneticPr fontId="14"/>
  </si>
  <si>
    <t>0098</t>
    <phoneticPr fontId="14"/>
  </si>
  <si>
    <t>特に精度を必要</t>
    <phoneticPr fontId="14"/>
  </si>
  <si>
    <t>定常品</t>
    <phoneticPr fontId="14"/>
  </si>
  <si>
    <t>※必要数量を記入下さい。</t>
    <rPh sb="1" eb="3">
      <t>ヒツヨウ</t>
    </rPh>
    <rPh sb="3" eb="5">
      <t>スウリョウ</t>
    </rPh>
    <rPh sb="6" eb="8">
      <t>キニュウ</t>
    </rPh>
    <rPh sb="8" eb="9">
      <t>クダ</t>
    </rPh>
    <phoneticPr fontId="14"/>
  </si>
  <si>
    <t>フジペースト</t>
    <phoneticPr fontId="14"/>
  </si>
  <si>
    <t>1501</t>
    <phoneticPr fontId="14"/>
  </si>
  <si>
    <t>タフサンド</t>
    <phoneticPr fontId="14"/>
  </si>
  <si>
    <t>0573</t>
    <phoneticPr fontId="14"/>
  </si>
  <si>
    <t>ＳＴ</t>
    <phoneticPr fontId="14"/>
  </si>
  <si>
    <t>タフロン　200ＭＳＬ</t>
    <phoneticPr fontId="14"/>
  </si>
  <si>
    <t>1593</t>
    <phoneticPr fontId="14"/>
  </si>
  <si>
    <t>ネオファルト</t>
    <phoneticPr fontId="14"/>
  </si>
  <si>
    <t>1502</t>
    <phoneticPr fontId="14"/>
  </si>
  <si>
    <t>エバーゾールＳＥ</t>
    <phoneticPr fontId="14"/>
  </si>
  <si>
    <t>フジマウントコート</t>
    <phoneticPr fontId="14"/>
  </si>
  <si>
    <t>ＳＫボンド</t>
    <phoneticPr fontId="14"/>
  </si>
  <si>
    <t>アスセメント</t>
    <phoneticPr fontId="14"/>
  </si>
  <si>
    <t>0212</t>
    <phoneticPr fontId="14"/>
  </si>
  <si>
    <t>ハイネスゾールＡＥ</t>
    <phoneticPr fontId="14"/>
  </si>
  <si>
    <t>0337</t>
    <phoneticPr fontId="14"/>
  </si>
  <si>
    <t>ハイネスゾール土木</t>
    <rPh sb="7" eb="9">
      <t>ドボク</t>
    </rPh>
    <phoneticPr fontId="14"/>
  </si>
  <si>
    <t>0336</t>
    <phoneticPr fontId="14"/>
  </si>
  <si>
    <t>シビルスターＳ</t>
    <phoneticPr fontId="14"/>
  </si>
  <si>
    <t>0491</t>
    <phoneticPr fontId="14"/>
  </si>
  <si>
    <t>シビルスターＣ</t>
    <phoneticPr fontId="14"/>
  </si>
  <si>
    <t>0492</t>
    <phoneticPr fontId="14"/>
  </si>
  <si>
    <t>タフベース</t>
    <phoneticPr fontId="14"/>
  </si>
  <si>
    <t>1864</t>
    <phoneticPr fontId="14"/>
  </si>
  <si>
    <t>エバーゾールＳ－３</t>
    <phoneticPr fontId="14"/>
  </si>
  <si>
    <t>0308</t>
    <phoneticPr fontId="14"/>
  </si>
  <si>
    <t>エバーゾールＳ</t>
    <phoneticPr fontId="14"/>
  </si>
  <si>
    <t>0307</t>
    <phoneticPr fontId="14"/>
  </si>
  <si>
    <t>エバーゾール＃１００Ｐ</t>
    <phoneticPr fontId="14"/>
  </si>
  <si>
    <t>0158</t>
    <phoneticPr fontId="14"/>
  </si>
  <si>
    <t>エバーゾール＃１００</t>
    <phoneticPr fontId="14"/>
  </si>
  <si>
    <t>0157</t>
    <phoneticPr fontId="14"/>
  </si>
  <si>
    <t>ﾌﾞﾛﾝｱｽﾌｧﾙﾄ　10-20</t>
    <phoneticPr fontId="14"/>
  </si>
  <si>
    <t>0426</t>
    <phoneticPr fontId="14"/>
  </si>
  <si>
    <t>コンパウンド３種</t>
    <rPh sb="7" eb="8">
      <t>シュ</t>
    </rPh>
    <phoneticPr fontId="14"/>
  </si>
  <si>
    <t>0430</t>
    <phoneticPr fontId="14"/>
  </si>
  <si>
    <t>フジクリーン</t>
    <phoneticPr fontId="14"/>
  </si>
  <si>
    <t>0021</t>
    <phoneticPr fontId="14"/>
  </si>
  <si>
    <t>（コンパウンド類）</t>
    <rPh sb="7" eb="8">
      <t>ルイ</t>
    </rPh>
    <phoneticPr fontId="14"/>
  </si>
  <si>
    <t>首都圏オフィス</t>
    <rPh sb="0" eb="3">
      <t>シュトケン</t>
    </rPh>
    <phoneticPr fontId="14"/>
  </si>
  <si>
    <t>充填品・OEM品・多量の定常品＝引取精度（在庫量管理）の向上が最重要品。</t>
  </si>
  <si>
    <t>旧商品＝引取精度（在庫量管理）の向上が最重要品。</t>
  </si>
  <si>
    <t>多量の定常品＝引取精度(在庫量管理)の向上が最重要品。　　　多量のカット対応には日数が必要</t>
  </si>
  <si>
    <t>販売現業所→カスタマーセンター→四日市工場</t>
  </si>
  <si>
    <t>単位</t>
  </si>
  <si>
    <t>【条件】引取り情報を基に効率良く生産への組み込むため精査が必要。</t>
  </si>
  <si>
    <t>　　　　在庫のない場合及び急な対応が困難な製品は依頼から出荷までに　約２週間の期間が必要</t>
  </si>
  <si>
    <t>商　品　名</t>
  </si>
  <si>
    <t>0163</t>
    <phoneticPr fontId="2"/>
  </si>
  <si>
    <t>0243</t>
    <phoneticPr fontId="2"/>
  </si>
  <si>
    <t>0020</t>
    <phoneticPr fontId="2"/>
  </si>
  <si>
    <t>0124</t>
    <phoneticPr fontId="2"/>
  </si>
  <si>
    <t>首都圏オフィス</t>
    <phoneticPr fontId="2"/>
  </si>
  <si>
    <t>ハイネスシール（カートリッジ）</t>
    <phoneticPr fontId="2"/>
  </si>
  <si>
    <t>プライマー類　予定数量の内、大口直送予定がある場合は備考欄に情報を記入。</t>
  </si>
  <si>
    <t>1413</t>
    <phoneticPr fontId="14"/>
  </si>
  <si>
    <t>1415</t>
    <phoneticPr fontId="14"/>
  </si>
  <si>
    <t>2190</t>
    <phoneticPr fontId="14"/>
  </si>
  <si>
    <t>ＳＫシール</t>
    <phoneticPr fontId="14"/>
  </si>
  <si>
    <t>0163</t>
    <phoneticPr fontId="14"/>
  </si>
  <si>
    <t>1789</t>
    <phoneticPr fontId="14"/>
  </si>
  <si>
    <t>ハイネスシートSは四工品</t>
    <rPh sb="9" eb="11">
      <t>ヨンコウ</t>
    </rPh>
    <rPh sb="11" eb="12">
      <t>ヒン</t>
    </rPh>
    <phoneticPr fontId="14"/>
  </si>
  <si>
    <t>2134</t>
    <phoneticPr fontId="14"/>
  </si>
  <si>
    <t>ＥＸルーフ</t>
    <phoneticPr fontId="14"/>
  </si>
  <si>
    <t>ＥＸルーフ　W100</t>
    <phoneticPr fontId="14"/>
  </si>
  <si>
    <t>2130</t>
    <phoneticPr fontId="14"/>
  </si>
  <si>
    <t>レストアボード</t>
    <phoneticPr fontId="14"/>
  </si>
  <si>
    <t>枚</t>
    <rPh sb="0" eb="1">
      <t>マイ</t>
    </rPh>
    <phoneticPr fontId="14"/>
  </si>
  <si>
    <t>1339～1342</t>
    <phoneticPr fontId="14"/>
  </si>
  <si>
    <t>1326・1327</t>
    <phoneticPr fontId="14"/>
  </si>
  <si>
    <t>フジシート 低 5×5ⅿ</t>
    <rPh sb="6" eb="7">
      <t>テイ</t>
    </rPh>
    <phoneticPr fontId="14"/>
  </si>
  <si>
    <t>1328・1329</t>
    <phoneticPr fontId="14"/>
  </si>
  <si>
    <t>2131</t>
    <phoneticPr fontId="14"/>
  </si>
  <si>
    <t>防水プロテクター　25ｍ/本</t>
    <rPh sb="0" eb="2">
      <t>ボウスイ</t>
    </rPh>
    <rPh sb="13" eb="14">
      <t>ホン</t>
    </rPh>
    <phoneticPr fontId="14"/>
  </si>
  <si>
    <t>2181・2182</t>
    <phoneticPr fontId="14"/>
  </si>
  <si>
    <t>2176</t>
    <phoneticPr fontId="14"/>
  </si>
  <si>
    <t>1529</t>
    <phoneticPr fontId="14"/>
  </si>
  <si>
    <t>2186</t>
    <phoneticPr fontId="14"/>
  </si>
  <si>
    <t>2187</t>
    <phoneticPr fontId="14"/>
  </si>
  <si>
    <t>2243・2188</t>
    <phoneticPr fontId="14"/>
  </si>
  <si>
    <t>2191</t>
    <phoneticPr fontId="14"/>
  </si>
  <si>
    <t>Uコート ﾊﾞｲﾝﾀﾞｰ　16㎏</t>
    <phoneticPr fontId="14"/>
  </si>
  <si>
    <t>2183・2184</t>
    <phoneticPr fontId="14"/>
  </si>
  <si>
    <t>タフネスファインEX</t>
    <phoneticPr fontId="14"/>
  </si>
  <si>
    <t>1279</t>
    <phoneticPr fontId="14"/>
  </si>
  <si>
    <t>コーパタイト</t>
    <phoneticPr fontId="14"/>
  </si>
  <si>
    <t>1649</t>
    <phoneticPr fontId="14"/>
  </si>
  <si>
    <t>ナナオアスプライマー</t>
    <phoneticPr fontId="14"/>
  </si>
  <si>
    <t>1814</t>
    <phoneticPr fontId="14"/>
  </si>
  <si>
    <t>SRプライムGM</t>
    <phoneticPr fontId="14"/>
  </si>
  <si>
    <t>(様式-販売-１)Rev.2025.05.20</t>
    <rPh sb="1" eb="3">
      <t>ヨウシキ</t>
    </rPh>
    <rPh sb="4" eb="6">
      <t>ハンバイ</t>
    </rPh>
    <phoneticPr fontId="3"/>
  </si>
  <si>
    <t>ｸﾛｽｱｰﾏｰﾌｪｲｽ</t>
    <phoneticPr fontId="14"/>
  </si>
  <si>
    <t>2044</t>
    <phoneticPr fontId="2"/>
  </si>
  <si>
    <t>2044</t>
    <phoneticPr fontId="14"/>
  </si>
  <si>
    <t>2138</t>
    <phoneticPr fontId="2"/>
  </si>
  <si>
    <t>2138</t>
    <phoneticPr fontId="14"/>
  </si>
  <si>
    <t>ﾌｧｲﾝｼｰﾄ（通年型）</t>
    <rPh sb="8" eb="11">
      <t>ツウネンガタ</t>
    </rPh>
    <phoneticPr fontId="14"/>
  </si>
  <si>
    <t>ｱﾝﾁﾙﾙｰﾂｶﾞｰﾄﾞS</t>
    <phoneticPr fontId="14"/>
  </si>
  <si>
    <t>0038</t>
    <phoneticPr fontId="2"/>
  </si>
  <si>
    <t>0038</t>
    <phoneticPr fontId="14"/>
  </si>
  <si>
    <t>ﾀﾞﾝｶﾞｰﾄﾞ（UR用）10ｍ</t>
    <rPh sb="11" eb="12">
      <t>ヨウ</t>
    </rPh>
    <phoneticPr fontId="14"/>
  </si>
  <si>
    <t>ﾌｼﾞｽｰﾊﾟｰﾊﾟｰｸ</t>
    <phoneticPr fontId="14"/>
  </si>
  <si>
    <t>ﾌｼﾞｽｰﾊﾟｰｼｰﾄ</t>
    <phoneticPr fontId="14"/>
  </si>
  <si>
    <t>0309</t>
    <phoneticPr fontId="2"/>
  </si>
  <si>
    <t>0309</t>
    <phoneticPr fontId="14"/>
  </si>
  <si>
    <t>ﾊｲﾈｽｼｰﾄ　R-20</t>
    <phoneticPr fontId="14"/>
  </si>
  <si>
    <t>ﾌｼﾞｸﾗｯｸｼ-ﾄ W500 2入り</t>
    <phoneticPr fontId="14"/>
  </si>
  <si>
    <t>ﾌｼﾞｸﾗｯｸｼ-ﾄ W330 3入り</t>
    <phoneticPr fontId="14"/>
  </si>
  <si>
    <t>0310　ﾊｲﾈｽｼｰﾄ　R12</t>
    <phoneticPr fontId="14"/>
  </si>
  <si>
    <t>2062</t>
    <phoneticPr fontId="2"/>
  </si>
  <si>
    <t>2062</t>
    <phoneticPr fontId="14"/>
  </si>
  <si>
    <t>2063</t>
    <phoneticPr fontId="2"/>
  </si>
  <si>
    <t>2063</t>
    <phoneticPr fontId="14"/>
  </si>
  <si>
    <t>2064</t>
    <phoneticPr fontId="2"/>
  </si>
  <si>
    <t>2064</t>
    <phoneticPr fontId="14"/>
  </si>
  <si>
    <t>2065</t>
    <phoneticPr fontId="2"/>
  </si>
  <si>
    <t>2065</t>
    <phoneticPr fontId="14"/>
  </si>
  <si>
    <t>2107</t>
    <phoneticPr fontId="2"/>
  </si>
  <si>
    <t>2107</t>
    <phoneticPr fontId="14"/>
  </si>
  <si>
    <t>ﾊﾞﾘﾔｼｰﾄｼｬｯﾄ（ﾀﾌﾈｽ）</t>
    <phoneticPr fontId="14"/>
  </si>
  <si>
    <t>2126</t>
    <phoneticPr fontId="2"/>
  </si>
  <si>
    <t>2126</t>
    <phoneticPr fontId="14"/>
  </si>
  <si>
    <t>ﾀﾌﾈｽ NEXTﾙｰﾌ</t>
    <phoneticPr fontId="14"/>
  </si>
  <si>
    <t>【　飛び火用製品　】　　</t>
    <rPh sb="2" eb="3">
      <t>ト</t>
    </rPh>
    <rPh sb="4" eb="5">
      <t>ヒ</t>
    </rPh>
    <rPh sb="5" eb="6">
      <t>ヨウ</t>
    </rPh>
    <rPh sb="6" eb="8">
      <t>セイヒン</t>
    </rPh>
    <phoneticPr fontId="14"/>
  </si>
  <si>
    <t>1842</t>
    <phoneticPr fontId="2"/>
  </si>
  <si>
    <t>1842</t>
    <phoneticPr fontId="14"/>
  </si>
  <si>
    <t>砂付きSGﾙｰﾌ（飛び火用）</t>
    <rPh sb="0" eb="1">
      <t>スナ</t>
    </rPh>
    <rPh sb="1" eb="2">
      <t>ツ</t>
    </rPh>
    <rPh sb="9" eb="10">
      <t>ト</t>
    </rPh>
    <rPh sb="11" eb="13">
      <t>ヒヨウ</t>
    </rPh>
    <phoneticPr fontId="14"/>
  </si>
  <si>
    <t>ｳﾙﾄﾗﾙｰﾌ</t>
    <phoneticPr fontId="14"/>
  </si>
  <si>
    <t>0028</t>
    <phoneticPr fontId="2"/>
  </si>
  <si>
    <t>砂付きSGﾙｰﾌ</t>
    <rPh sb="0" eb="1">
      <t>スナ</t>
    </rPh>
    <rPh sb="1" eb="2">
      <t>ツ</t>
    </rPh>
    <phoneticPr fontId="14"/>
  </si>
  <si>
    <t>砂付きﾐﾘｱｼｰﾄ</t>
    <rPh sb="0" eb="1">
      <t>スナ</t>
    </rPh>
    <rPh sb="1" eb="2">
      <t>ツ</t>
    </rPh>
    <phoneticPr fontId="14"/>
  </si>
  <si>
    <t>無地包装　ラベル対応</t>
    <rPh sb="0" eb="4">
      <t>ムジホウソウ</t>
    </rPh>
    <rPh sb="8" eb="10">
      <t>タイオウ</t>
    </rPh>
    <phoneticPr fontId="14"/>
  </si>
  <si>
    <t>0049</t>
    <phoneticPr fontId="2"/>
  </si>
  <si>
    <t>1751</t>
    <phoneticPr fontId="2"/>
  </si>
  <si>
    <t>1751</t>
    <phoneticPr fontId="14"/>
  </si>
  <si>
    <t>ﾗﾋﾟﾈｽSP250M</t>
    <phoneticPr fontId="14"/>
  </si>
  <si>
    <t>2091</t>
    <phoneticPr fontId="2"/>
  </si>
  <si>
    <t>2091</t>
    <phoneticPr fontId="14"/>
  </si>
  <si>
    <t>ｴﾗｽﾄｺｰﾄAS　  25㎏</t>
    <phoneticPr fontId="14"/>
  </si>
  <si>
    <t>2136</t>
    <phoneticPr fontId="2"/>
  </si>
  <si>
    <t>2136</t>
    <phoneticPr fontId="14"/>
  </si>
  <si>
    <t>ﾌｼﾛｰﾄﾞｺｰﾄ　10.0Kg</t>
    <phoneticPr fontId="14"/>
  </si>
  <si>
    <t xml:space="preserve">ﾌｼﾞｼ-ﾙⅡ号A 　25kg </t>
    <phoneticPr fontId="14"/>
  </si>
  <si>
    <t xml:space="preserve">ﾌｼﾞｼ-ﾙⅢ号 　25kg </t>
    <phoneticPr fontId="14"/>
  </si>
  <si>
    <t>1753</t>
    <phoneticPr fontId="2"/>
  </si>
  <si>
    <t>1699</t>
    <phoneticPr fontId="2"/>
  </si>
  <si>
    <t>1699</t>
    <phoneticPr fontId="14"/>
  </si>
  <si>
    <t>ﾌｼﾞﾛｰﾄﾞｺｰﾄG　25㎏</t>
    <phoneticPr fontId="14"/>
  </si>
  <si>
    <t>1945</t>
    <phoneticPr fontId="14"/>
  </si>
  <si>
    <t>（フジシールⅣ号）</t>
    <rPh sb="7" eb="8">
      <t>ゴウ</t>
    </rPh>
    <phoneticPr fontId="14"/>
  </si>
  <si>
    <t>高周波熱錬向け</t>
    <rPh sb="0" eb="5">
      <t>コウシュウハネツレン</t>
    </rPh>
    <rPh sb="5" eb="6">
      <t>ム</t>
    </rPh>
    <phoneticPr fontId="14"/>
  </si>
  <si>
    <t>七王工業向け</t>
    <rPh sb="0" eb="4">
      <t>ナナオウコウギョウ</t>
    </rPh>
    <rPh sb="4" eb="5">
      <t>ム</t>
    </rPh>
    <phoneticPr fontId="14"/>
  </si>
  <si>
    <t>ｳｴｽﾀﾝ向け商品</t>
    <rPh sb="5" eb="6">
      <t>ム</t>
    </rPh>
    <rPh sb="7" eb="9">
      <t>ショウヒン</t>
    </rPh>
    <phoneticPr fontId="14"/>
  </si>
  <si>
    <t>茶谷産業（奥山化工業）向け</t>
    <rPh sb="0" eb="2">
      <t>チャタニ</t>
    </rPh>
    <rPh sb="2" eb="4">
      <t>サンギョウ</t>
    </rPh>
    <rPh sb="5" eb="7">
      <t>オクヤマ</t>
    </rPh>
    <rPh sb="7" eb="9">
      <t>カコウ</t>
    </rPh>
    <rPh sb="9" eb="10">
      <t>ギョウ</t>
    </rPh>
    <rPh sb="11" eb="12">
      <t>ム</t>
    </rPh>
    <phoneticPr fontId="14"/>
  </si>
  <si>
    <t>綾羽工業</t>
    <rPh sb="0" eb="2">
      <t>アヤハ</t>
    </rPh>
    <rPh sb="2" eb="4">
      <t>コウギョウ</t>
    </rPh>
    <phoneticPr fontId="14"/>
  </si>
  <si>
    <t>白崎ｺｰﾎﾟﾚｰｼｮﾝ</t>
    <rPh sb="0" eb="2">
      <t>シラサキ</t>
    </rPh>
    <phoneticPr fontId="14"/>
  </si>
  <si>
    <t>(様式-販売-１)Rev.2025.09.12</t>
  </si>
  <si>
    <t>備　考
コンビテナー積込みは
要記載</t>
    <rPh sb="0" eb="1">
      <t>ビ</t>
    </rPh>
    <rPh sb="2" eb="3">
      <t>コウ</t>
    </rPh>
    <rPh sb="10" eb="12">
      <t>ツミコ</t>
    </rPh>
    <rPh sb="15" eb="16">
      <t>ヨウ</t>
    </rPh>
    <rPh sb="16" eb="18">
      <t>キサイ</t>
    </rPh>
    <phoneticPr fontId="14"/>
  </si>
  <si>
    <t>ハイネスシートＳ（春秋冬）</t>
    <rPh sb="9" eb="10">
      <t>ハル</t>
    </rPh>
    <rPh sb="10" eb="11">
      <t>アキ</t>
    </rPh>
    <rPh sb="11" eb="12">
      <t>フユ</t>
    </rPh>
    <phoneticPr fontId="14"/>
  </si>
  <si>
    <t>タフネスNEXTルーフ</t>
    <phoneticPr fontId="2"/>
  </si>
  <si>
    <t>ラピネスGR400 グリーン</t>
    <phoneticPr fontId="2"/>
  </si>
  <si>
    <t>フジロードコート 25kg（ｔ）</t>
    <phoneticPr fontId="2"/>
  </si>
  <si>
    <t>フジロードコート 10kg（ｔ）</t>
    <phoneticPr fontId="2"/>
  </si>
  <si>
    <t>フジシールⅡ号A 25㎏（ｔ）</t>
    <rPh sb="5" eb="7">
      <t>ニゴウ</t>
    </rPh>
    <phoneticPr fontId="2"/>
  </si>
  <si>
    <t>フジシールⅡ号A 12.5㎏（ｔ）</t>
    <rPh sb="5" eb="7">
      <t>ニゴウ</t>
    </rPh>
    <phoneticPr fontId="2"/>
  </si>
  <si>
    <t>フジシールⅢ号　25㎏（ｔ）</t>
    <rPh sb="6" eb="7">
      <t>ゴウ</t>
    </rPh>
    <phoneticPr fontId="2"/>
  </si>
  <si>
    <t>フジシールⅢ号　12.5㎏（ｔ）</t>
    <rPh sb="6" eb="7">
      <t>ゴウ</t>
    </rPh>
    <phoneticPr fontId="2"/>
  </si>
  <si>
    <t>フジシールⅢ号　10㎏（ｔ）</t>
    <rPh sb="6" eb="7">
      <t>ゴウ</t>
    </rPh>
    <phoneticPr fontId="2"/>
  </si>
  <si>
    <t>エラストコートAS 25kg（ｔ）</t>
    <phoneticPr fontId="2"/>
  </si>
  <si>
    <t>フジロードコートG 25kg（ｔ）</t>
    <phoneticPr fontId="2"/>
  </si>
  <si>
    <t>ハイネスシートＳ（夏）</t>
    <rPh sb="9" eb="10">
      <t>ナツ</t>
    </rPh>
    <phoneticPr fontId="14"/>
  </si>
  <si>
    <t>ハイネスシートS（四工）(夏)</t>
    <rPh sb="9" eb="10">
      <t>ヨン</t>
    </rPh>
    <rPh sb="10" eb="11">
      <t>コウ</t>
    </rPh>
    <phoneticPr fontId="2"/>
  </si>
  <si>
    <t>ハイネスシートS（四工）(春秋冬)</t>
    <rPh sb="9" eb="10">
      <t>ヨン</t>
    </rPh>
    <rPh sb="10" eb="11">
      <t>コウ</t>
    </rPh>
    <phoneticPr fontId="2"/>
  </si>
  <si>
    <t>※この行は集計されません</t>
    <rPh sb="3" eb="4">
      <t>ギョウ</t>
    </rPh>
    <rPh sb="5" eb="7">
      <t>シュウケイ</t>
    </rPh>
    <phoneticPr fontId="2"/>
  </si>
  <si>
    <t>ダンガード（七王）</t>
    <rPh sb="6" eb="8">
      <t>ナナオウ</t>
    </rPh>
    <phoneticPr fontId="2"/>
  </si>
  <si>
    <t>ダンガード（UR用）10ｍ（四工）</t>
    <rPh sb="14" eb="16">
      <t>ヨンコウ</t>
    </rPh>
    <phoneticPr fontId="2"/>
  </si>
  <si>
    <t>ハイネスシートR-20</t>
    <phoneticPr fontId="2"/>
  </si>
  <si>
    <t>ラピネスSP250M</t>
    <phoneticPr fontId="2"/>
  </si>
  <si>
    <t>ガードテープA （W200）</t>
    <phoneticPr fontId="2"/>
  </si>
  <si>
    <t>ガードテープA （W330）</t>
    <phoneticPr fontId="2"/>
  </si>
  <si>
    <t>ﾊﾞﾘﾔｰｼｰﾄｼｬｯﾄ(ﾀﾌﾈｽ)(ｱｽﾌｧﾙﾄﾙｰﾌ)</t>
    <phoneticPr fontId="2"/>
  </si>
  <si>
    <r>
      <rPr>
        <b/>
        <sz val="10.5"/>
        <rFont val="MS ゴシック"/>
        <family val="3"/>
        <charset val="128"/>
      </rPr>
      <t>多量の定常品＝引取精度(在庫量管理)の向上が最重要品。</t>
    </r>
    <r>
      <rPr>
        <b/>
        <sz val="10.5"/>
        <color rgb="FFFF0000"/>
        <rFont val="MS ゴシック"/>
        <family val="3"/>
        <charset val="128"/>
      </rPr>
      <t>　飛び火用製品の基材は受注生産品の為製造迄の期間を要します</t>
    </r>
    <rPh sb="28" eb="29">
      <t>ト</t>
    </rPh>
    <rPh sb="30" eb="31">
      <t>ヒ</t>
    </rPh>
    <rPh sb="31" eb="32">
      <t>ヨウ</t>
    </rPh>
    <rPh sb="32" eb="33">
      <t>セイ</t>
    </rPh>
    <rPh sb="35" eb="37">
      <t>キザイ</t>
    </rPh>
    <rPh sb="38" eb="42">
      <t>ジュチュウセイサン</t>
    </rPh>
    <rPh sb="42" eb="43">
      <t>ヒン</t>
    </rPh>
    <rPh sb="44" eb="45">
      <t>タメ</t>
    </rPh>
    <rPh sb="45" eb="47">
      <t>セイゾウ</t>
    </rPh>
    <rPh sb="47" eb="48">
      <t>マデ</t>
    </rPh>
    <rPh sb="49" eb="51">
      <t>キカン</t>
    </rPh>
    <rPh sb="52" eb="53">
      <t>ヨウ</t>
    </rPh>
    <phoneticPr fontId="14"/>
  </si>
  <si>
    <t>2190</t>
    <phoneticPr fontId="2"/>
  </si>
  <si>
    <t>ハイネスゾールAE</t>
    <phoneticPr fontId="2"/>
  </si>
  <si>
    <t>0337</t>
    <phoneticPr fontId="2"/>
  </si>
  <si>
    <t>サルコート・エコ EC-S</t>
    <phoneticPr fontId="2"/>
  </si>
  <si>
    <t>サルコート・エコ EC-N</t>
    <phoneticPr fontId="2"/>
  </si>
  <si>
    <t>0100</t>
    <phoneticPr fontId="2"/>
  </si>
  <si>
    <t>0101</t>
    <phoneticPr fontId="2"/>
  </si>
  <si>
    <t>フジクロスK W100</t>
    <phoneticPr fontId="2"/>
  </si>
  <si>
    <t>0122</t>
    <phoneticPr fontId="2"/>
  </si>
  <si>
    <t>2165</t>
    <phoneticPr fontId="14"/>
  </si>
  <si>
    <t>EXルーフ</t>
    <phoneticPr fontId="2"/>
  </si>
  <si>
    <t>EXルーフ W100</t>
    <phoneticPr fontId="2"/>
  </si>
  <si>
    <t>2134</t>
    <phoneticPr fontId="2"/>
  </si>
  <si>
    <t>2165</t>
    <phoneticPr fontId="2"/>
  </si>
  <si>
    <t>2181・2182</t>
    <phoneticPr fontId="2"/>
  </si>
  <si>
    <t>2176</t>
    <phoneticPr fontId="2"/>
  </si>
  <si>
    <t>タフネスファインEX</t>
    <phoneticPr fontId="2"/>
  </si>
  <si>
    <t>2183・2184</t>
    <phoneticPr fontId="2"/>
  </si>
  <si>
    <t>レストアボード</t>
    <phoneticPr fontId="2"/>
  </si>
  <si>
    <t>2130</t>
    <phoneticPr fontId="2"/>
  </si>
  <si>
    <t>1339～1342</t>
    <phoneticPr fontId="2"/>
  </si>
  <si>
    <t>目地テープ（箱）</t>
    <rPh sb="0" eb="2">
      <t>メジ</t>
    </rPh>
    <rPh sb="6" eb="7">
      <t>ハコ</t>
    </rPh>
    <phoneticPr fontId="2"/>
  </si>
  <si>
    <t>0649</t>
    <phoneticPr fontId="2"/>
  </si>
  <si>
    <t>0430</t>
    <phoneticPr fontId="2"/>
  </si>
  <si>
    <t>フジトップカラー　特注色</t>
    <rPh sb="9" eb="11">
      <t>トクチュウ</t>
    </rPh>
    <rPh sb="11" eb="12">
      <t>イロ</t>
    </rPh>
    <phoneticPr fontId="2"/>
  </si>
  <si>
    <t>0127</t>
    <phoneticPr fontId="2"/>
  </si>
  <si>
    <t>TFコート</t>
    <phoneticPr fontId="2"/>
  </si>
  <si>
    <t>TFクール</t>
    <phoneticPr fontId="2"/>
  </si>
  <si>
    <t>TFカラー特注色</t>
    <rPh sb="5" eb="7">
      <t>トクチュウ</t>
    </rPh>
    <rPh sb="7" eb="8">
      <t>イロ</t>
    </rPh>
    <phoneticPr fontId="2"/>
  </si>
  <si>
    <t>0085～</t>
    <phoneticPr fontId="2"/>
  </si>
  <si>
    <t>0087～</t>
    <phoneticPr fontId="2"/>
  </si>
  <si>
    <t>0091～</t>
    <phoneticPr fontId="2"/>
  </si>
  <si>
    <t>1312</t>
    <phoneticPr fontId="2"/>
  </si>
  <si>
    <t>アルミペイント</t>
    <phoneticPr fontId="2"/>
  </si>
  <si>
    <t>1529</t>
    <phoneticPr fontId="2"/>
  </si>
  <si>
    <t>ダレ止め剤</t>
    <rPh sb="2" eb="3">
      <t>ド</t>
    </rPh>
    <rPh sb="4" eb="5">
      <t>ザイ</t>
    </rPh>
    <phoneticPr fontId="2"/>
  </si>
  <si>
    <t>硬化促進剤</t>
    <rPh sb="0" eb="5">
      <t>コウカソクシンザイ</t>
    </rPh>
    <phoneticPr fontId="2"/>
  </si>
  <si>
    <t>0138</t>
    <phoneticPr fontId="2"/>
  </si>
  <si>
    <t>0139</t>
    <phoneticPr fontId="2"/>
  </si>
  <si>
    <t>防水プロテクター　25ｍ/本</t>
    <rPh sb="0" eb="2">
      <t>ボウスイ</t>
    </rPh>
    <rPh sb="13" eb="14">
      <t>ホン</t>
    </rPh>
    <phoneticPr fontId="2"/>
  </si>
  <si>
    <t>2131</t>
    <phoneticPr fontId="2"/>
  </si>
  <si>
    <t>ハイネスシートS（七王）</t>
    <rPh sb="9" eb="11">
      <t>ナナオウ</t>
    </rPh>
    <phoneticPr fontId="2"/>
  </si>
  <si>
    <t>ペーブドレーンΦ20（巻）</t>
    <rPh sb="11" eb="12">
      <t>マキ</t>
    </rPh>
    <phoneticPr fontId="2"/>
  </si>
  <si>
    <t>ペーブドレーンΦ15（巻）</t>
    <rPh sb="11" eb="12">
      <t>マキ</t>
    </rPh>
    <phoneticPr fontId="2"/>
  </si>
  <si>
    <t>ペーブドレーンΦ10（巻）</t>
    <rPh sb="11" eb="12">
      <t>マキ</t>
    </rPh>
    <phoneticPr fontId="2"/>
  </si>
  <si>
    <t>ペーブドレーンΦ30（巻）</t>
    <rPh sb="11" eb="12">
      <t>マキ</t>
    </rPh>
    <phoneticPr fontId="2"/>
  </si>
  <si>
    <t>2026年</t>
    <rPh sb="4" eb="5">
      <t>ネン</t>
    </rPh>
    <phoneticPr fontId="2"/>
  </si>
  <si>
    <t>2026年</t>
    <phoneticPr fontId="14"/>
  </si>
  <si>
    <t>製品名</t>
    <rPh sb="0" eb="3">
      <t>セイヒンメイ</t>
    </rPh>
    <phoneticPr fontId="2"/>
  </si>
  <si>
    <t>枠組み</t>
    <rPh sb="0" eb="2">
      <t>ワクグ</t>
    </rPh>
    <phoneticPr fontId="2"/>
  </si>
  <si>
    <t>アスファルトルーフ</t>
  </si>
  <si>
    <t>フジスーパールーフ</t>
  </si>
  <si>
    <t>ミリアSUルーフ</t>
  </si>
  <si>
    <t>ミリアULルーフ</t>
  </si>
  <si>
    <t>バリヤーシートシャット</t>
  </si>
  <si>
    <t>エクセルルーフ</t>
  </si>
  <si>
    <t>タフベント</t>
  </si>
  <si>
    <t>フジウルトラルーフ</t>
  </si>
  <si>
    <t>スーパーテープW200</t>
  </si>
  <si>
    <t>スーパーテープW330</t>
  </si>
  <si>
    <t>0027</t>
  </si>
  <si>
    <t>0023</t>
  </si>
  <si>
    <t>0029</t>
  </si>
  <si>
    <t>1813</t>
  </si>
  <si>
    <t>1386</t>
  </si>
  <si>
    <t>0034</t>
  </si>
  <si>
    <t>0033</t>
  </si>
  <si>
    <t>0028</t>
  </si>
  <si>
    <t>0026</t>
  </si>
  <si>
    <t>0030</t>
  </si>
  <si>
    <t>0031</t>
  </si>
  <si>
    <t>0022</t>
  </si>
  <si>
    <t>0025</t>
  </si>
  <si>
    <t>0024</t>
  </si>
  <si>
    <t>1665</t>
  </si>
  <si>
    <t>1752</t>
  </si>
  <si>
    <t>1666</t>
  </si>
  <si>
    <t>1753</t>
  </si>
  <si>
    <t>2049</t>
  </si>
  <si>
    <t>2091</t>
  </si>
  <si>
    <t>エラストコートAS 25kg（ｔ）</t>
  </si>
  <si>
    <t>2063</t>
  </si>
  <si>
    <t>SSS300HB（A）</t>
  </si>
  <si>
    <t>2062</t>
  </si>
  <si>
    <t>SSS350HB（A）</t>
  </si>
  <si>
    <t>2064</t>
  </si>
  <si>
    <t>NEWフォルテ（A）HB</t>
  </si>
  <si>
    <t>2065</t>
  </si>
  <si>
    <t>ＮＥＷガード（Ａ）</t>
  </si>
  <si>
    <t>2107</t>
  </si>
  <si>
    <t>レクシード250（Ａ）</t>
  </si>
  <si>
    <t>2126</t>
  </si>
  <si>
    <t>タフネスNEXTルーフ</t>
  </si>
  <si>
    <t>0020</t>
  </si>
  <si>
    <t>プロテクトシート</t>
  </si>
  <si>
    <t>0019</t>
  </si>
  <si>
    <t>アンチルーツガードS</t>
  </si>
  <si>
    <t>0036</t>
  </si>
  <si>
    <t>フジスーパーパーク</t>
  </si>
  <si>
    <t>1428</t>
  </si>
  <si>
    <t>0038</t>
  </si>
  <si>
    <t>2059</t>
  </si>
  <si>
    <t>ﾊﾞﾘﾔｰｼｰﾄｼｬｯﾄ(ﾀﾌﾈｽ)(ｱｽﾌｧﾙﾄﾙｰﾌ)</t>
  </si>
  <si>
    <t>1664</t>
  </si>
  <si>
    <t>ガードテープA （W200）</t>
  </si>
  <si>
    <t>1663</t>
  </si>
  <si>
    <t>ガードテープA （W330）</t>
  </si>
  <si>
    <t>0208</t>
  </si>
  <si>
    <t>ポリエチレンフィルム</t>
  </si>
  <si>
    <t>0209</t>
  </si>
  <si>
    <t>【ラピネス】</t>
  </si>
  <si>
    <t>0048</t>
  </si>
  <si>
    <t>ラピネスGR400</t>
  </si>
  <si>
    <t>0049</t>
  </si>
  <si>
    <t>ラピネスGR400 グリーン</t>
  </si>
  <si>
    <t>0050</t>
  </si>
  <si>
    <t>ラピネスSP350</t>
  </si>
  <si>
    <t>0054</t>
  </si>
  <si>
    <t>ラピネスPW300</t>
  </si>
  <si>
    <t>0051</t>
  </si>
  <si>
    <t>ラピネスPW250</t>
  </si>
  <si>
    <t>2061</t>
  </si>
  <si>
    <t>2060</t>
  </si>
  <si>
    <t>0058</t>
  </si>
  <si>
    <t>エアーソールフラム</t>
  </si>
  <si>
    <t>0053</t>
  </si>
  <si>
    <t>ラピネステープW200</t>
  </si>
  <si>
    <t>0052</t>
  </si>
  <si>
    <t>ラピネステープW330</t>
  </si>
  <si>
    <t>0055</t>
  </si>
  <si>
    <t>ラピネスGR400M</t>
  </si>
  <si>
    <t>0056</t>
  </si>
  <si>
    <t>ラピネスPW250M</t>
  </si>
  <si>
    <t>1751</t>
  </si>
  <si>
    <t>ラピネスSP250M</t>
  </si>
  <si>
    <t>【ハイネス】</t>
  </si>
  <si>
    <t>2044</t>
  </si>
  <si>
    <t>2138</t>
  </si>
  <si>
    <t>0064</t>
  </si>
  <si>
    <t>0066</t>
  </si>
  <si>
    <t>0069</t>
  </si>
  <si>
    <t>1474</t>
  </si>
  <si>
    <t>ハイネスシートNC</t>
  </si>
  <si>
    <t>1442</t>
  </si>
  <si>
    <t>ハイネスTFシート</t>
  </si>
  <si>
    <t>1443</t>
  </si>
  <si>
    <t>ハイネスTFテープ　W200</t>
  </si>
  <si>
    <t>0067</t>
  </si>
  <si>
    <t>0070</t>
  </si>
  <si>
    <t>MLテープ　12ｍ</t>
  </si>
  <si>
    <t>1501</t>
  </si>
  <si>
    <t>SKシール（カートリッジ）</t>
  </si>
  <si>
    <t>0243</t>
  </si>
  <si>
    <t>ハイネスシール（カートリッジ）</t>
  </si>
  <si>
    <t>0035</t>
  </si>
  <si>
    <t>1842</t>
  </si>
  <si>
    <t>0037</t>
  </si>
  <si>
    <t>ハイネスシートSW-S</t>
  </si>
  <si>
    <t>0057</t>
  </si>
  <si>
    <t>ハイネスシートSW-T</t>
  </si>
  <si>
    <t>0235</t>
  </si>
  <si>
    <t>0240</t>
  </si>
  <si>
    <t>0238</t>
  </si>
  <si>
    <t>0236</t>
  </si>
  <si>
    <t>【クロスアーマー】</t>
  </si>
  <si>
    <t>0039</t>
  </si>
  <si>
    <t>クロスアーマーベース</t>
  </si>
  <si>
    <t>0040</t>
  </si>
  <si>
    <t>クロスアーマーベースＶ</t>
  </si>
  <si>
    <t>0043</t>
  </si>
  <si>
    <t>クロスアーマーヘッド</t>
  </si>
  <si>
    <t>0044</t>
  </si>
  <si>
    <t>クロスアーマーヘッドV</t>
  </si>
  <si>
    <t>0045</t>
  </si>
  <si>
    <t>クロスアーマーシールド</t>
  </si>
  <si>
    <t>1440</t>
  </si>
  <si>
    <t>クロスアーマーフェイス</t>
  </si>
  <si>
    <t>1441</t>
  </si>
  <si>
    <t>アンダーガード</t>
  </si>
  <si>
    <t>0042</t>
  </si>
  <si>
    <t>クロスアーマーテープW＝200</t>
  </si>
  <si>
    <t>0041</t>
  </si>
  <si>
    <t>クロスアーマーテープW＝300</t>
  </si>
  <si>
    <t>【タフネスファイン】</t>
  </si>
  <si>
    <t>1556</t>
  </si>
  <si>
    <t>ファインボンド</t>
  </si>
  <si>
    <t>0077</t>
  </si>
  <si>
    <t>TFプライマー</t>
  </si>
  <si>
    <t>0078</t>
  </si>
  <si>
    <t>0079</t>
  </si>
  <si>
    <t>TFクロス</t>
  </si>
  <si>
    <t>0080</t>
  </si>
  <si>
    <t>TFクロスW＝100</t>
  </si>
  <si>
    <t>2181・2182</t>
  </si>
  <si>
    <t>タフネスファイン</t>
  </si>
  <si>
    <t>1614</t>
  </si>
  <si>
    <t>ファインシート</t>
  </si>
  <si>
    <t>2084</t>
  </si>
  <si>
    <t>0138</t>
  </si>
  <si>
    <t>0139</t>
  </si>
  <si>
    <t>2176</t>
  </si>
  <si>
    <t>TFエマルション</t>
  </si>
  <si>
    <t>2183・2184</t>
  </si>
  <si>
    <t>タフネスファインEX</t>
  </si>
  <si>
    <t>2134</t>
  </si>
  <si>
    <t>EXルーフ</t>
  </si>
  <si>
    <t>2165</t>
  </si>
  <si>
    <t>EXルーフ W100</t>
  </si>
  <si>
    <t>0085～</t>
  </si>
  <si>
    <t>TFカラー</t>
  </si>
  <si>
    <t>1312</t>
  </si>
  <si>
    <t>0087～</t>
  </si>
  <si>
    <t>TFコート</t>
  </si>
  <si>
    <t>0091～</t>
  </si>
  <si>
    <t>TFクール</t>
  </si>
  <si>
    <t>1529</t>
  </si>
  <si>
    <t>アルミペイント</t>
  </si>
  <si>
    <t>【FLコート】</t>
  </si>
  <si>
    <t>FLコート　タイプⅢ（ドラム）</t>
  </si>
  <si>
    <t>Uコートバインダー（ドラム）</t>
  </si>
  <si>
    <t>1593</t>
  </si>
  <si>
    <t>タフロン200MSL</t>
  </si>
  <si>
    <t>0573</t>
  </si>
  <si>
    <t>タフサンド</t>
  </si>
  <si>
    <t>トスシール</t>
  </si>
  <si>
    <t>0649</t>
  </si>
  <si>
    <t>リカバーボード</t>
  </si>
  <si>
    <t>2130</t>
  </si>
  <si>
    <t>レストアボード</t>
  </si>
  <si>
    <t>0021</t>
  </si>
  <si>
    <t>フジクリーン（ｔ）</t>
  </si>
  <si>
    <t>0430</t>
  </si>
  <si>
    <t>2190</t>
  </si>
  <si>
    <t>エバーゾールSE</t>
  </si>
  <si>
    <t>0157</t>
  </si>
  <si>
    <t>エバーゾール100</t>
  </si>
  <si>
    <t>0158</t>
  </si>
  <si>
    <t>エバーゾール100P</t>
  </si>
  <si>
    <t>0307</t>
  </si>
  <si>
    <t>エバーゾールS</t>
  </si>
  <si>
    <t>0308</t>
  </si>
  <si>
    <t>エバーゾールS-3</t>
  </si>
  <si>
    <t>1864</t>
  </si>
  <si>
    <t>タフベース</t>
  </si>
  <si>
    <t>0212</t>
  </si>
  <si>
    <t>アスセメント</t>
  </si>
  <si>
    <t>1502</t>
  </si>
  <si>
    <t>ネオファルト</t>
  </si>
  <si>
    <t>1413</t>
  </si>
  <si>
    <t>SKボンド</t>
  </si>
  <si>
    <t>0163</t>
  </si>
  <si>
    <t>フジペースト</t>
  </si>
  <si>
    <t>1415</t>
  </si>
  <si>
    <t>フジマウントコート</t>
  </si>
  <si>
    <t>【サルコート】</t>
  </si>
  <si>
    <t>0102</t>
  </si>
  <si>
    <t>UP102</t>
  </si>
  <si>
    <t>1789</t>
  </si>
  <si>
    <t>UP103</t>
  </si>
  <si>
    <t>0104</t>
  </si>
  <si>
    <t>UP602</t>
  </si>
  <si>
    <t>0098</t>
  </si>
  <si>
    <t>サルコートS</t>
  </si>
  <si>
    <t>0099</t>
  </si>
  <si>
    <t>サルコートN</t>
  </si>
  <si>
    <t>0100</t>
  </si>
  <si>
    <t>サルコート・エコ EC-S</t>
  </si>
  <si>
    <t>0101</t>
  </si>
  <si>
    <t>サルコート・エコ EC-N</t>
  </si>
  <si>
    <t>0125</t>
  </si>
  <si>
    <t>フジトップカラー　グレー</t>
  </si>
  <si>
    <t>0127</t>
  </si>
  <si>
    <t>0115</t>
  </si>
  <si>
    <t>フジRBシート</t>
  </si>
  <si>
    <t>0116</t>
  </si>
  <si>
    <t>フジRBテープ</t>
  </si>
  <si>
    <t>0121</t>
  </si>
  <si>
    <t>フジクロスK</t>
  </si>
  <si>
    <t>0122</t>
  </si>
  <si>
    <t>フジクロスK W100</t>
  </si>
  <si>
    <t>フジクロスV</t>
  </si>
  <si>
    <t>0124</t>
  </si>
  <si>
    <t>フジクロスGL</t>
  </si>
  <si>
    <t>ナチュラル</t>
  </si>
  <si>
    <t>グレー</t>
  </si>
  <si>
    <t>グリーン</t>
  </si>
  <si>
    <t>ブラウン</t>
  </si>
  <si>
    <t>0003</t>
  </si>
  <si>
    <t>SSS35</t>
  </si>
  <si>
    <t>0005</t>
  </si>
  <si>
    <t>SSS30</t>
  </si>
  <si>
    <t>0012</t>
  </si>
  <si>
    <t>ＮＥＷガード</t>
  </si>
  <si>
    <t>0011</t>
  </si>
  <si>
    <t>NEWフォルテ</t>
  </si>
  <si>
    <t>0018</t>
  </si>
  <si>
    <t>レクシード25</t>
  </si>
  <si>
    <t>ベース25</t>
  </si>
  <si>
    <t>0305</t>
  </si>
  <si>
    <t>フジスーパーシート</t>
  </si>
  <si>
    <t>0304</t>
  </si>
  <si>
    <t>フジロードコート 25kg（ｔ）</t>
  </si>
  <si>
    <t>2136</t>
  </si>
  <si>
    <t>フジロードコート 10kg（ｔ）</t>
  </si>
  <si>
    <t>1699</t>
  </si>
  <si>
    <t>フジロードコートG 25kg（ｔ）</t>
  </si>
  <si>
    <t>0306</t>
  </si>
  <si>
    <t>スーパーシートクリーン</t>
  </si>
  <si>
    <t>1668</t>
  </si>
  <si>
    <t>フジクラックシート</t>
  </si>
  <si>
    <t>0485</t>
  </si>
  <si>
    <t>0336</t>
  </si>
  <si>
    <t>0337</t>
  </si>
  <si>
    <t>ハイネスゾールAE</t>
  </si>
  <si>
    <t>1506</t>
  </si>
  <si>
    <t>ハイネスシートSS32（L）</t>
  </si>
  <si>
    <t>0334</t>
  </si>
  <si>
    <t>ハイネスシートW32</t>
  </si>
  <si>
    <t>0335</t>
  </si>
  <si>
    <t>ハイネスシートW32　W＝500</t>
  </si>
  <si>
    <t>0309</t>
  </si>
  <si>
    <t>ハイネスシートR-20</t>
  </si>
  <si>
    <t>2131</t>
  </si>
  <si>
    <t>1382</t>
  </si>
  <si>
    <t>アルミラーシート　0.7㎜　</t>
  </si>
  <si>
    <t>1383</t>
  </si>
  <si>
    <t>アルミラーシート　1.0㎜</t>
  </si>
  <si>
    <t>1335</t>
  </si>
  <si>
    <t>1336</t>
  </si>
  <si>
    <t>1337</t>
  </si>
  <si>
    <t>1338</t>
  </si>
  <si>
    <t>1339～1342</t>
  </si>
  <si>
    <t>ペーブドレーンF（Φ　　）</t>
  </si>
  <si>
    <t>製品番号</t>
    <rPh sb="0" eb="4">
      <t>セイヒンバンゴウ</t>
    </rPh>
    <phoneticPr fontId="2"/>
  </si>
  <si>
    <t>エリア</t>
    <phoneticPr fontId="2"/>
  </si>
  <si>
    <t>担当者</t>
    <rPh sb="0" eb="3">
      <t>タントウシャ</t>
    </rPh>
    <phoneticPr fontId="2"/>
  </si>
  <si>
    <t>首都圏</t>
    <rPh sb="0" eb="3">
      <t>シュトケン</t>
    </rPh>
    <phoneticPr fontId="2"/>
  </si>
  <si>
    <t>川崎</t>
    <rPh sb="0" eb="2">
      <t>カワサキ</t>
    </rPh>
    <phoneticPr fontId="2"/>
  </si>
  <si>
    <t>エリア</t>
  </si>
  <si>
    <t>担当者</t>
  </si>
  <si>
    <t>前半/後半</t>
  </si>
  <si>
    <t>数量</t>
  </si>
  <si>
    <t>日時</t>
  </si>
  <si>
    <t>製品名</t>
  </si>
  <si>
    <t>処理結果（自動）</t>
  </si>
  <si>
    <t>担当者別 一括入力フォーム</t>
    <phoneticPr fontId="2"/>
  </si>
  <si>
    <t>製品名</t>
    <phoneticPr fontId="2"/>
  </si>
  <si>
    <t>数量</t>
    <phoneticPr fontId="2"/>
  </si>
  <si>
    <t xml:space="preserve"> 担当者</t>
    <phoneticPr fontId="2"/>
  </si>
  <si>
    <t>前半/後半</t>
    <phoneticPr fontId="2"/>
  </si>
  <si>
    <t>絶縁クロス</t>
  </si>
  <si>
    <t>ペーブドレーンΦ30（巻）</t>
  </si>
  <si>
    <t>ペーブドレーンΦ20（巻）</t>
  </si>
  <si>
    <t>ペーブドレーンΦ15（巻）</t>
  </si>
  <si>
    <t>ペーブドレーンΦ10（巻）</t>
  </si>
  <si>
    <t>ハイネスゾール土木用</t>
  </si>
  <si>
    <t>フジロードコート</t>
  </si>
  <si>
    <t>ダンガード（七王）</t>
  </si>
  <si>
    <t>ダンガード</t>
  </si>
  <si>
    <t>網状ルーフW100</t>
  </si>
  <si>
    <t>網状ルーフW150</t>
  </si>
  <si>
    <t>網状ルーフW300</t>
  </si>
  <si>
    <t>網状ルーフW1000</t>
  </si>
  <si>
    <t>網状ルーフ</t>
  </si>
  <si>
    <t>エアソールフラム</t>
  </si>
  <si>
    <t>MLテープ</t>
  </si>
  <si>
    <t>硬化促進剤</t>
  </si>
  <si>
    <t>ダレ止め剤</t>
  </si>
  <si>
    <t>TFカラー特注色</t>
  </si>
  <si>
    <t>TFプライマー（水性）</t>
  </si>
  <si>
    <t>ガードテープA(W200)</t>
  </si>
  <si>
    <t>ガードテープA(W330)</t>
  </si>
  <si>
    <t>エラストコートAS</t>
  </si>
  <si>
    <t>フジシールⅢ号　12.5㎏（ｔ）</t>
  </si>
  <si>
    <t>フジシールⅢ号　25㎏（ｔ）</t>
  </si>
  <si>
    <t>フジシールⅢ号</t>
  </si>
  <si>
    <t>フジシールⅡ号A 12.5㎏（ｔ）</t>
  </si>
  <si>
    <t>フジシールⅡ号A 25㎏（ｔ）</t>
  </si>
  <si>
    <t>フジシールⅡ号A</t>
  </si>
  <si>
    <t>フジトップカラー　特注色</t>
  </si>
  <si>
    <t>フジRDテープ</t>
  </si>
  <si>
    <t>クロスアーマーベースV</t>
  </si>
  <si>
    <t>ハイネスシートSW-S（七）</t>
  </si>
  <si>
    <t>砂付ミリアシート</t>
  </si>
  <si>
    <t>砂付ベントルーフ</t>
  </si>
  <si>
    <t>砂付SGルーフ</t>
  </si>
  <si>
    <t>フジエクセルルーフ</t>
  </si>
  <si>
    <t>変換後（製品名）</t>
  </si>
  <si>
    <t>変換前（材料名）</t>
  </si>
  <si>
    <t>C:\Users\SK070581\Desktop\5月集計\★元ファイル</t>
    <phoneticPr fontId="2"/>
  </si>
  <si>
    <t>元データ行番号</t>
    <phoneticPr fontId="2"/>
  </si>
  <si>
    <t>5月</t>
    <rPh sb="1" eb="2">
      <t>ガツ</t>
    </rPh>
    <phoneticPr fontId="2"/>
  </si>
  <si>
    <t>分</t>
    <phoneticPr fontId="2"/>
  </si>
  <si>
    <t>野村</t>
    <rPh sb="0" eb="2">
      <t>ノムラ</t>
    </rPh>
    <phoneticPr fontId="2"/>
  </si>
  <si>
    <t>ラピネスGR400　※UR</t>
    <phoneticPr fontId="2"/>
  </si>
  <si>
    <t>ラピネスPW300　※UR</t>
    <phoneticPr fontId="2"/>
  </si>
  <si>
    <t>ハイネスシートSW-T（通年用）※UR</t>
    <rPh sb="12" eb="15">
      <t>ツウネンヨウ</t>
    </rPh>
    <phoneticPr fontId="2"/>
  </si>
  <si>
    <t>TFカラー　グレー</t>
    <phoneticPr fontId="2"/>
  </si>
  <si>
    <t>目地テープ（75㎜×20m）（12巻/箱）※UR</t>
    <rPh sb="0" eb="2">
      <t>メジ</t>
    </rPh>
    <rPh sb="17" eb="18">
      <t>マ</t>
    </rPh>
    <rPh sb="19" eb="20">
      <t>ハコ</t>
    </rPh>
    <phoneticPr fontId="2"/>
  </si>
  <si>
    <t>特殊ｺｰﾅｰｷｬﾝﾄ（50㎜用）（50本/箱）※UR</t>
    <rPh sb="0" eb="2">
      <t>トクシュ</t>
    </rPh>
    <rPh sb="14" eb="15">
      <t>ヨウ</t>
    </rPh>
    <rPh sb="19" eb="20">
      <t>ホン</t>
    </rPh>
    <rPh sb="21" eb="22">
      <t>ハコ</t>
    </rPh>
    <phoneticPr fontId="2"/>
  </si>
  <si>
    <t>エバーゾール100P　※UR</t>
    <phoneticPr fontId="2"/>
  </si>
  <si>
    <t>タフベース　※UR</t>
    <phoneticPr fontId="2"/>
  </si>
  <si>
    <t>アスセメント　※UR</t>
    <phoneticPr fontId="2"/>
  </si>
  <si>
    <t>UP102　※UR</t>
    <phoneticPr fontId="2"/>
  </si>
  <si>
    <t>フジRDテープ</t>
    <phoneticPr fontId="2"/>
  </si>
  <si>
    <r>
      <t>フジクロスK　</t>
    </r>
    <r>
      <rPr>
        <sz val="11"/>
        <color rgb="FFFF0000"/>
        <rFont val="游ゴシック"/>
        <family val="3"/>
        <charset val="128"/>
        <scheme val="minor"/>
      </rPr>
      <t>※赤字はUR</t>
    </r>
    <rPh sb="8" eb="10">
      <t>アカジ</t>
    </rPh>
    <phoneticPr fontId="2"/>
  </si>
  <si>
    <t>RAボードU t30（枚）</t>
    <rPh sb="11" eb="12">
      <t>マイ</t>
    </rPh>
    <phoneticPr fontId="2"/>
  </si>
  <si>
    <t>RAボードU t35（枚）</t>
    <rPh sb="11" eb="12">
      <t>マイ</t>
    </rPh>
    <phoneticPr fontId="2"/>
  </si>
  <si>
    <t>RAボードU t40（枚）</t>
    <rPh sb="11" eb="12">
      <t>マイ</t>
    </rPh>
    <phoneticPr fontId="2"/>
  </si>
  <si>
    <t>RAボードU t50（枚）</t>
    <rPh sb="11" eb="12">
      <t>マイ</t>
    </rPh>
    <phoneticPr fontId="2"/>
  </si>
  <si>
    <t>RAボードU t50（枚）　※UR</t>
    <rPh sb="11" eb="12">
      <t>マイ</t>
    </rPh>
    <phoneticPr fontId="2"/>
  </si>
  <si>
    <t>RAボードU t60（枚）</t>
    <rPh sb="11" eb="12">
      <t>マイ</t>
    </rPh>
    <phoneticPr fontId="2"/>
  </si>
  <si>
    <t>RAボードS t25（枚）</t>
    <rPh sb="11" eb="12">
      <t>マイ</t>
    </rPh>
    <phoneticPr fontId="2"/>
  </si>
  <si>
    <t>RAボードS t30（枚）</t>
    <rPh sb="11" eb="12">
      <t>マイ</t>
    </rPh>
    <phoneticPr fontId="2"/>
  </si>
  <si>
    <t>RAボードS t35（枚）</t>
    <rPh sb="11" eb="12">
      <t>マイ</t>
    </rPh>
    <phoneticPr fontId="2"/>
  </si>
  <si>
    <t>RAボードS t40（枚）</t>
    <rPh sb="11" eb="12">
      <t>マイ</t>
    </rPh>
    <phoneticPr fontId="2"/>
  </si>
  <si>
    <t>RAボードS t50（枚）</t>
    <rPh sb="11" eb="12">
      <t>マイ</t>
    </rPh>
    <phoneticPr fontId="2"/>
  </si>
  <si>
    <t>RAボードS t60（枚）</t>
    <rPh sb="11" eb="12">
      <t>マイ</t>
    </rPh>
    <phoneticPr fontId="2"/>
  </si>
  <si>
    <t>RAボードS t75（枚）</t>
    <rPh sb="11" eb="12">
      <t>マイ</t>
    </rPh>
    <phoneticPr fontId="2"/>
  </si>
  <si>
    <t>フジカラートップ（色未定）（缶）</t>
    <rPh sb="9" eb="10">
      <t>イロ</t>
    </rPh>
    <rPh sb="10" eb="12">
      <t>ミテイ</t>
    </rPh>
    <phoneticPr fontId="2"/>
  </si>
  <si>
    <t>フジカラートップ　ライトグレーN（缶）</t>
    <phoneticPr fontId="2"/>
  </si>
  <si>
    <t>フジカラートップ遮熱（色未定）（缶）</t>
    <rPh sb="8" eb="10">
      <t>シャネツ</t>
    </rPh>
    <rPh sb="11" eb="12">
      <t>イロ</t>
    </rPh>
    <rPh sb="12" eb="14">
      <t>ミテイ</t>
    </rPh>
    <phoneticPr fontId="2"/>
  </si>
  <si>
    <t>フジカラートップ遮熱　シルバーグレー（缶）</t>
    <rPh sb="8" eb="10">
      <t>シャネツ</t>
    </rPh>
    <phoneticPr fontId="2"/>
  </si>
  <si>
    <t>フジカラートップ遮熱　ライトグレー（缶）</t>
    <rPh sb="8" eb="10">
      <t>シャネツ</t>
    </rPh>
    <phoneticPr fontId="2"/>
  </si>
  <si>
    <t>フジカラートップS遮熱（色未定）（缶）※UR</t>
    <rPh sb="9" eb="11">
      <t>シャネツ</t>
    </rPh>
    <rPh sb="12" eb="13">
      <t>イロ</t>
    </rPh>
    <rPh sb="13" eb="15">
      <t>ミテイ</t>
    </rPh>
    <phoneticPr fontId="2"/>
  </si>
  <si>
    <t>フジカラートップ難燃（色未定）（缶）</t>
    <rPh sb="8" eb="10">
      <t>ナンネン</t>
    </rPh>
    <rPh sb="11" eb="12">
      <t>イロ</t>
    </rPh>
    <rPh sb="12" eb="14">
      <t>ミテイ</t>
    </rPh>
    <rPh sb="16" eb="17">
      <t>カン</t>
    </rPh>
    <phoneticPr fontId="2"/>
  </si>
  <si>
    <t>フジカラートップ難燃　シルバーグレー（缶）</t>
    <rPh sb="8" eb="10">
      <t>ナンネン</t>
    </rPh>
    <rPh sb="19" eb="20">
      <t>カン</t>
    </rPh>
    <phoneticPr fontId="2"/>
  </si>
  <si>
    <t>フジシルバー水性（缶）</t>
    <rPh sb="6" eb="8">
      <t>スイセイ</t>
    </rPh>
    <rPh sb="9" eb="10">
      <t>カン</t>
    </rPh>
    <phoneticPr fontId="2"/>
  </si>
  <si>
    <t>フジシルバー水性（缶）　※UR</t>
    <rPh sb="6" eb="8">
      <t>スイセイ</t>
    </rPh>
    <rPh sb="9" eb="10">
      <t>カン</t>
    </rPh>
    <phoneticPr fontId="2"/>
  </si>
  <si>
    <t>フジトップクールG（色未定）（缶）</t>
    <rPh sb="10" eb="13">
      <t>イロミテイ</t>
    </rPh>
    <rPh sb="15" eb="16">
      <t>カン</t>
    </rPh>
    <phoneticPr fontId="2"/>
  </si>
  <si>
    <t>フジトップクールG　ライトグレー（缶）</t>
    <rPh sb="17" eb="18">
      <t>カン</t>
    </rPh>
    <phoneticPr fontId="2"/>
  </si>
  <si>
    <t>コーナーキャント（箱）</t>
    <rPh sb="9" eb="10">
      <t>ハコ</t>
    </rPh>
    <phoneticPr fontId="2"/>
  </si>
  <si>
    <t>ハイネスシール（缶）</t>
    <rPh sb="8" eb="9">
      <t>カン</t>
    </rPh>
    <phoneticPr fontId="2"/>
  </si>
  <si>
    <t>ホネストコーチング（缶）</t>
    <rPh sb="10" eb="11">
      <t>カン</t>
    </rPh>
    <phoneticPr fontId="2"/>
  </si>
  <si>
    <t>SK脱気筒 一般防水用角型（個）</t>
    <rPh sb="2" eb="5">
      <t>ダッキトウ</t>
    </rPh>
    <rPh sb="6" eb="8">
      <t>イッパン</t>
    </rPh>
    <rPh sb="8" eb="11">
      <t>ボウスイヨウ</t>
    </rPh>
    <rPh sb="11" eb="12">
      <t>カク</t>
    </rPh>
    <rPh sb="12" eb="13">
      <t>ガタ</t>
    </rPh>
    <rPh sb="14" eb="15">
      <t>コ</t>
    </rPh>
    <phoneticPr fontId="2"/>
  </si>
  <si>
    <t>SK脱気筒 断熱防水用2重（個）</t>
    <rPh sb="14" eb="15">
      <t>コ</t>
    </rPh>
    <phoneticPr fontId="2"/>
  </si>
  <si>
    <t>ハイベントSK-H（個）</t>
    <rPh sb="10" eb="11">
      <t>コ</t>
    </rPh>
    <phoneticPr fontId="2"/>
  </si>
  <si>
    <t>塗膜用ハイベント（個）</t>
    <rPh sb="0" eb="3">
      <t>トマクヨウ</t>
    </rPh>
    <rPh sb="9" eb="10">
      <t>コ</t>
    </rPh>
    <phoneticPr fontId="2"/>
  </si>
  <si>
    <t>アルミアングルL100（本）</t>
    <rPh sb="12" eb="13">
      <t>ホン</t>
    </rPh>
    <phoneticPr fontId="2"/>
  </si>
  <si>
    <t>アルミアングルTA-41（本）</t>
    <rPh sb="13" eb="14">
      <t>ホン</t>
    </rPh>
    <phoneticPr fontId="2"/>
  </si>
  <si>
    <t>アルミアングルコーナー300×300（個）</t>
    <rPh sb="19" eb="20">
      <t>コ</t>
    </rPh>
    <phoneticPr fontId="2"/>
  </si>
  <si>
    <t>アンカープラグ　セルボ　5×36（箱）</t>
    <rPh sb="17" eb="18">
      <t>ハコ</t>
    </rPh>
    <phoneticPr fontId="2"/>
  </si>
  <si>
    <t>ラピネスアンカー（長さ未定）（箱）</t>
    <rPh sb="9" eb="10">
      <t>ナガ</t>
    </rPh>
    <rPh sb="11" eb="13">
      <t>ミテイ</t>
    </rPh>
    <rPh sb="15" eb="16">
      <t>ハコ</t>
    </rPh>
    <phoneticPr fontId="2"/>
  </si>
  <si>
    <t>オークリッジスーパー（色未定）（束）</t>
    <rPh sb="11" eb="12">
      <t>イロ</t>
    </rPh>
    <rPh sb="12" eb="14">
      <t>ミテイ</t>
    </rPh>
    <rPh sb="16" eb="17">
      <t>タバ</t>
    </rPh>
    <phoneticPr fontId="2"/>
  </si>
  <si>
    <t>オークリッジスーパー　エステートグレー</t>
    <phoneticPr fontId="2"/>
  </si>
  <si>
    <t>シングルセメント</t>
    <phoneticPr fontId="2"/>
  </si>
  <si>
    <t>UR</t>
    <phoneticPr fontId="52"/>
  </si>
  <si>
    <t>メーカー</t>
    <phoneticPr fontId="52"/>
  </si>
  <si>
    <t>タフネスシート SSS35</t>
  </si>
  <si>
    <t>タフネスシート SSS30</t>
  </si>
  <si>
    <t>タフネスシート NEWフォルテ</t>
  </si>
  <si>
    <t>タフネスルーフ NEWガード</t>
  </si>
  <si>
    <t>フジクリーン</t>
  </si>
  <si>
    <t>スーパーテープ W330</t>
  </si>
  <si>
    <t>スーパーテープ W200</t>
  </si>
  <si>
    <t>ハイネスシート SW-S</t>
  </si>
  <si>
    <t>ダンガード（UR用）10ｍ（四工）</t>
  </si>
  <si>
    <t>クロスアーマーテープ W300</t>
  </si>
  <si>
    <t>クロスアーマーテープ W200</t>
  </si>
  <si>
    <t>ラピネスシート GR400</t>
  </si>
  <si>
    <t>ラピネスGR400　※UR</t>
  </si>
  <si>
    <t>ラピネスシート GR400 グリーン</t>
  </si>
  <si>
    <t>ラピネスシート SP350</t>
  </si>
  <si>
    <t>ラピネスシート PW250</t>
  </si>
  <si>
    <t>ラピネステープ W330</t>
  </si>
  <si>
    <t>ラピネステープ W200</t>
  </si>
  <si>
    <t>ラピネスシート PW300</t>
  </si>
  <si>
    <t>ラピネスPW300　※UR</t>
  </si>
  <si>
    <t>ラピネスシート GR400M</t>
  </si>
  <si>
    <t>ラピネスシート PW250M</t>
  </si>
  <si>
    <t>ハイネスシート SW-T</t>
  </si>
  <si>
    <t>ハイネスシート SS</t>
  </si>
  <si>
    <r>
      <rPr>
        <sz val="9"/>
        <color rgb="FF9C5700"/>
        <rFont val="ＭＳ ゴシック"/>
        <family val="3"/>
        <charset val="128"/>
      </rPr>
      <t>ハイネスシート</t>
    </r>
    <r>
      <rPr>
        <sz val="9"/>
        <color rgb="FF9C5700"/>
        <rFont val="Arial"/>
        <family val="2"/>
      </rPr>
      <t>SS</t>
    </r>
    <r>
      <rPr>
        <sz val="9"/>
        <color rgb="FF9C5700"/>
        <rFont val="ＭＳ ゴシック"/>
        <family val="3"/>
        <charset val="128"/>
      </rPr>
      <t>（東和）</t>
    </r>
    <phoneticPr fontId="52"/>
  </si>
  <si>
    <t>東和</t>
    <rPh sb="0" eb="2">
      <t>トウワ</t>
    </rPh>
    <phoneticPr fontId="52"/>
  </si>
  <si>
    <t>ハイネスシート SF</t>
  </si>
  <si>
    <t>ハイネスシートSF（東和）</t>
  </si>
  <si>
    <t>ハイネステープ W200</t>
  </si>
  <si>
    <t>ハイネステープW＝200（東和）</t>
  </si>
  <si>
    <t>ハイネスシート SFⅡ</t>
  </si>
  <si>
    <t>ハイネスシートSFⅡ（東和）</t>
  </si>
  <si>
    <t>TFプライマー (水性)</t>
  </si>
  <si>
    <t>TFクロス W100</t>
  </si>
  <si>
    <t>サルコート S</t>
  </si>
  <si>
    <t>サルコート N</t>
  </si>
  <si>
    <t>サルコート EC-S</t>
  </si>
  <si>
    <t>サルコート EC-N</t>
  </si>
  <si>
    <t>UP102　※UR</t>
  </si>
  <si>
    <t>フジクロス K</t>
  </si>
  <si>
    <t>フジクロスK　※赤字はUR</t>
  </si>
  <si>
    <t>フジクロス KN W200</t>
  </si>
  <si>
    <t>フジクロス GL</t>
  </si>
  <si>
    <t>フジトップカラー グレー</t>
  </si>
  <si>
    <t>フジトップカラー 特注</t>
  </si>
  <si>
    <t>エバーゾール 100</t>
  </si>
  <si>
    <t>エバーゾール 100P</t>
  </si>
  <si>
    <t>エバーゾール100P　※UR</t>
  </si>
  <si>
    <t>アスセメント　※UR</t>
  </si>
  <si>
    <t>網状ルーフ W300</t>
  </si>
  <si>
    <t>網状ルーフ W150</t>
  </si>
  <si>
    <t>網状ルーフ W100</t>
  </si>
  <si>
    <t>ハイネスシール (カートリッジ)</t>
  </si>
  <si>
    <t>フジスーパーシート クリーン</t>
  </si>
  <si>
    <t>エバーゾール S</t>
  </si>
  <si>
    <t>エバーゾール S-3</t>
  </si>
  <si>
    <t>ハイネスシート R-20</t>
  </si>
  <si>
    <t>ハイネスシート W32</t>
  </si>
  <si>
    <t>ハイネスシート W32 W500</t>
  </si>
  <si>
    <t>ハイネスゾール 土木</t>
  </si>
  <si>
    <t>ハイネスゾール AE</t>
  </si>
  <si>
    <t>アスコンパウンド3</t>
  </si>
  <si>
    <t>アスコンパウンド3種</t>
  </si>
  <si>
    <t>タフシャット 1型</t>
  </si>
  <si>
    <t>タフシャットⅠ型</t>
  </si>
  <si>
    <t>タフサンド 18㎏ C/N</t>
  </si>
  <si>
    <t>目地テープ 75㎜x20m</t>
  </si>
  <si>
    <t>目地テープ（75㎜×20m）（12巻/箱）※UR</t>
  </si>
  <si>
    <t>TFカラー 特注色</t>
  </si>
  <si>
    <t>ペーブドレーン K(T) 10x15</t>
  </si>
  <si>
    <t>ペーブドレーン K(T) 15x15</t>
  </si>
  <si>
    <t>ペーブドレーン K(T) 20x15</t>
  </si>
  <si>
    <t>ペーブドレーン K(T) 30x15</t>
  </si>
  <si>
    <t>アルミラーシート (0.7㎜)</t>
  </si>
  <si>
    <t>アルミラーシート (1.0㎜)</t>
  </si>
  <si>
    <t>七</t>
    <rPh sb="0" eb="1">
      <t>ナナ</t>
    </rPh>
    <phoneticPr fontId="52"/>
  </si>
  <si>
    <t>ハイネスTFテープ W200</t>
  </si>
  <si>
    <t>ハイネスシート NC</t>
  </si>
  <si>
    <t>フジシールⅡ号A 12.5㎏</t>
  </si>
  <si>
    <t>フジシールⅢ号 12.5㎏</t>
  </si>
  <si>
    <t>タフネス NEXTルーフ</t>
  </si>
  <si>
    <t>TFカラー グレー</t>
  </si>
  <si>
    <t>TFカラー　グレー</t>
  </si>
  <si>
    <t>TFカラー グリーン</t>
  </si>
  <si>
    <r>
      <t>TF</t>
    </r>
    <r>
      <rPr>
        <sz val="9"/>
        <color rgb="FF17375E"/>
        <rFont val="ＭＳ ゴシック"/>
        <family val="3"/>
        <charset val="128"/>
      </rPr>
      <t>カラー</t>
    </r>
    <phoneticPr fontId="52"/>
  </si>
  <si>
    <t>TFコート グレー</t>
  </si>
  <si>
    <t>TFコート グリーン</t>
  </si>
  <si>
    <t>TFコート ライトグレー</t>
  </si>
  <si>
    <t>TFコート レッド</t>
  </si>
  <si>
    <t>TFクール グレー</t>
  </si>
  <si>
    <t>TFクール ライトグレー</t>
  </si>
  <si>
    <t>TFクール グリーン</t>
  </si>
  <si>
    <t>タフロン200MS-L</t>
  </si>
  <si>
    <t>フジクラックシートW5002入り</t>
  </si>
  <si>
    <t>フジクラックシートW500　2入り</t>
  </si>
  <si>
    <t>フジクラックシートW3303入り</t>
  </si>
  <si>
    <t>フジクラックシートW330　3入り</t>
  </si>
  <si>
    <t>タフベース　※UR</t>
  </si>
  <si>
    <t>防水プロテクター　25ｍ/本</t>
  </si>
  <si>
    <r>
      <t>TF</t>
    </r>
    <r>
      <rPr>
        <sz val="9"/>
        <color rgb="FF17375E"/>
        <rFont val="ＭＳ Ｐゴシック"/>
        <family val="3"/>
        <charset val="128"/>
      </rPr>
      <t>エマルション</t>
    </r>
  </si>
  <si>
    <t>RAボードU 30㎜</t>
  </si>
  <si>
    <t>RAボードU t30（枚）</t>
    <rPh sb="11" eb="12">
      <t>マイ</t>
    </rPh>
    <phoneticPr fontId="1"/>
  </si>
  <si>
    <t>RAボードU 35㎜</t>
  </si>
  <si>
    <t>RAボードU t35（枚）</t>
    <rPh sb="11" eb="12">
      <t>マイ</t>
    </rPh>
    <phoneticPr fontId="1"/>
  </si>
  <si>
    <t>RAボードU 40㎜</t>
  </si>
  <si>
    <t>RAボードU t40（枚）</t>
    <rPh sb="11" eb="12">
      <t>マイ</t>
    </rPh>
    <phoneticPr fontId="1"/>
  </si>
  <si>
    <t>RAボードU 50㎜</t>
  </si>
  <si>
    <t>RAボードU t50（枚）</t>
    <rPh sb="11" eb="12">
      <t>マイ</t>
    </rPh>
    <phoneticPr fontId="1"/>
  </si>
  <si>
    <t>RAボードU t50（枚）　※UR</t>
    <rPh sb="11" eb="12">
      <t>マイ</t>
    </rPh>
    <phoneticPr fontId="1"/>
  </si>
  <si>
    <t>RAボードU 60㎜ (クラボウ)</t>
  </si>
  <si>
    <t>RAボードU t60（枚）</t>
    <rPh sb="11" eb="12">
      <t>マイ</t>
    </rPh>
    <phoneticPr fontId="1"/>
  </si>
  <si>
    <t>RAボードS 25㎜</t>
  </si>
  <si>
    <t>RAボードS t25（枚）</t>
    <rPh sb="11" eb="12">
      <t>マイ</t>
    </rPh>
    <phoneticPr fontId="1"/>
  </si>
  <si>
    <t>RAボードS 30㎜</t>
  </si>
  <si>
    <t>RAボードS t30（枚）</t>
    <rPh sb="11" eb="12">
      <t>マイ</t>
    </rPh>
    <phoneticPr fontId="1"/>
  </si>
  <si>
    <t>RAボードS 35㎜</t>
  </si>
  <si>
    <t>RAボードS t35（枚）</t>
    <rPh sb="11" eb="12">
      <t>マイ</t>
    </rPh>
    <phoneticPr fontId="1"/>
  </si>
  <si>
    <t>RAボードS 40㎜</t>
  </si>
  <si>
    <t>RAボードS t40（枚）</t>
    <rPh sb="11" eb="12">
      <t>マイ</t>
    </rPh>
    <phoneticPr fontId="1"/>
  </si>
  <si>
    <t>RAボードS 50㎜</t>
  </si>
  <si>
    <t>RAボードS t50（枚）</t>
    <rPh sb="11" eb="12">
      <t>マイ</t>
    </rPh>
    <phoneticPr fontId="1"/>
  </si>
  <si>
    <t>RAボードS 60㎜</t>
  </si>
  <si>
    <t>RAボードS t60（枚）</t>
    <rPh sb="11" eb="12">
      <t>マイ</t>
    </rPh>
    <phoneticPr fontId="1"/>
  </si>
  <si>
    <t>RAボードS 75㎜</t>
    <phoneticPr fontId="52"/>
  </si>
  <si>
    <t>RAボードS t75（枚）</t>
    <rPh sb="11" eb="12">
      <t>マイ</t>
    </rPh>
    <phoneticPr fontId="1"/>
  </si>
  <si>
    <t>フジカラートップ</t>
    <phoneticPr fontId="52"/>
  </si>
  <si>
    <t>フジカラートップ（色未定）（缶）</t>
    <rPh sb="9" eb="10">
      <t>イロ</t>
    </rPh>
    <rPh sb="10" eb="12">
      <t>ミテイ</t>
    </rPh>
    <phoneticPr fontId="1"/>
  </si>
  <si>
    <t>フジカラートップ ライトグレー</t>
    <phoneticPr fontId="52"/>
  </si>
  <si>
    <t>フジカラートップ　ライトグレーN（缶）</t>
  </si>
  <si>
    <t xml:space="preserve">フジカラートップ遮熱 </t>
    <rPh sb="8" eb="10">
      <t>シャネツ</t>
    </rPh>
    <phoneticPr fontId="52"/>
  </si>
  <si>
    <t>フジカラートップ遮熱（色未定）（缶）</t>
    <rPh sb="8" eb="10">
      <t>シャネツ</t>
    </rPh>
    <rPh sb="11" eb="12">
      <t>イロ</t>
    </rPh>
    <rPh sb="12" eb="14">
      <t>ミテイ</t>
    </rPh>
    <phoneticPr fontId="1"/>
  </si>
  <si>
    <t>フジカラートップ遮熱 シルバーグレー (20㎏)</t>
    <rPh sb="8" eb="10">
      <t>シャネツ</t>
    </rPh>
    <phoneticPr fontId="52"/>
  </si>
  <si>
    <t>フジカラートップ遮熱　シルバーグレー（缶）</t>
    <rPh sb="8" eb="10">
      <t>シャネツ</t>
    </rPh>
    <phoneticPr fontId="1"/>
  </si>
  <si>
    <t>フジカラートップ遮熱 ライトグレー (20㎏)</t>
    <rPh sb="8" eb="10">
      <t>シャネツ</t>
    </rPh>
    <phoneticPr fontId="52"/>
  </si>
  <si>
    <t>フジカラートップ遮熱　ライトグレー（缶）</t>
    <rPh sb="8" eb="10">
      <t>シャネツ</t>
    </rPh>
    <phoneticPr fontId="1"/>
  </si>
  <si>
    <t xml:space="preserve">フジカラートップS遮熱 </t>
    <rPh sb="9" eb="11">
      <t>シャネツ</t>
    </rPh>
    <phoneticPr fontId="52"/>
  </si>
  <si>
    <t>フジカラートップS遮熱（色未定）（缶）※UR</t>
    <rPh sb="9" eb="11">
      <t>シャネツ</t>
    </rPh>
    <rPh sb="12" eb="13">
      <t>イロ</t>
    </rPh>
    <rPh sb="13" eb="15">
      <t>ミテイ</t>
    </rPh>
    <phoneticPr fontId="1"/>
  </si>
  <si>
    <t>フジカラートップ難燃</t>
    <rPh sb="8" eb="10">
      <t>ナンネン</t>
    </rPh>
    <phoneticPr fontId="1"/>
  </si>
  <si>
    <t>フジカラートップ難燃（色未定）（缶）</t>
    <rPh sb="8" eb="10">
      <t>ナンネン</t>
    </rPh>
    <rPh sb="11" eb="12">
      <t>イロ</t>
    </rPh>
    <rPh sb="12" eb="14">
      <t>ミテイ</t>
    </rPh>
    <rPh sb="16" eb="17">
      <t>カン</t>
    </rPh>
    <phoneticPr fontId="1"/>
  </si>
  <si>
    <t>フジカラートップ難燃　シルバーグレー</t>
    <rPh sb="8" eb="10">
      <t>ナンネン</t>
    </rPh>
    <phoneticPr fontId="1"/>
  </si>
  <si>
    <t>フジカラートップ難燃　シルバーグレー（缶）</t>
    <rPh sb="8" eb="10">
      <t>ナンネン</t>
    </rPh>
    <rPh sb="19" eb="20">
      <t>カン</t>
    </rPh>
    <phoneticPr fontId="1"/>
  </si>
  <si>
    <t>フジシルバー (水性)</t>
  </si>
  <si>
    <t>フジシルバー水性（缶）</t>
    <rPh sb="6" eb="8">
      <t>スイセイ</t>
    </rPh>
    <rPh sb="9" eb="10">
      <t>カン</t>
    </rPh>
    <phoneticPr fontId="1"/>
  </si>
  <si>
    <t>フジシルバー水性（缶）　※UR</t>
    <rPh sb="6" eb="8">
      <t>スイセイ</t>
    </rPh>
    <rPh sb="9" eb="10">
      <t>カン</t>
    </rPh>
    <phoneticPr fontId="1"/>
  </si>
  <si>
    <t>フジトップクール</t>
    <phoneticPr fontId="52"/>
  </si>
  <si>
    <t>フジトップクールG（色未定）（缶）</t>
    <rPh sb="10" eb="13">
      <t>イロミテイ</t>
    </rPh>
    <rPh sb="15" eb="16">
      <t>カン</t>
    </rPh>
    <phoneticPr fontId="1"/>
  </si>
  <si>
    <t>フジトップクール ライトグレー</t>
  </si>
  <si>
    <t>フジトップクールG　ライトグレー（缶）</t>
    <rPh sb="17" eb="18">
      <t>カン</t>
    </rPh>
    <phoneticPr fontId="1"/>
  </si>
  <si>
    <t>コーナーキャント</t>
    <phoneticPr fontId="52"/>
  </si>
  <si>
    <t>コーナーキャント（箱）</t>
    <rPh sb="9" eb="10">
      <t>ハコ</t>
    </rPh>
    <phoneticPr fontId="1"/>
  </si>
  <si>
    <t>ハイネスシール</t>
  </si>
  <si>
    <t>ハイネスシール（缶）</t>
    <rPh sb="8" eb="9">
      <t>カン</t>
    </rPh>
    <phoneticPr fontId="1"/>
  </si>
  <si>
    <t>ホネストコーチング 8㎏</t>
  </si>
  <si>
    <t>ホネストコーチング（缶）</t>
    <rPh sb="10" eb="11">
      <t>カン</t>
    </rPh>
    <phoneticPr fontId="1"/>
  </si>
  <si>
    <t>ステンレス 脱気筒</t>
  </si>
  <si>
    <t>SK脱気筒 一般防水用角型（個）</t>
    <rPh sb="2" eb="5">
      <t>ダッキトウ</t>
    </rPh>
    <rPh sb="6" eb="8">
      <t>イッパン</t>
    </rPh>
    <rPh sb="8" eb="11">
      <t>ボウスイヨウ</t>
    </rPh>
    <rPh sb="11" eb="12">
      <t>カク</t>
    </rPh>
    <rPh sb="12" eb="13">
      <t>ガタ</t>
    </rPh>
    <rPh sb="14" eb="15">
      <t>コ</t>
    </rPh>
    <phoneticPr fontId="1"/>
  </si>
  <si>
    <t>二重脱気筒(露出断熱 平場用)</t>
  </si>
  <si>
    <t>SK脱気筒 断熱防水用2重（個）</t>
    <rPh sb="14" eb="15">
      <t>コ</t>
    </rPh>
    <phoneticPr fontId="1"/>
  </si>
  <si>
    <t>ハイベント SK-H</t>
  </si>
  <si>
    <t>ハイベントSK-H（個）</t>
    <rPh sb="10" eb="11">
      <t>コ</t>
    </rPh>
    <phoneticPr fontId="1"/>
  </si>
  <si>
    <t>ハイベント (塗膜用)</t>
  </si>
  <si>
    <t>塗膜用ハイベント（個）</t>
    <rPh sb="0" eb="3">
      <t>トマクヨウ</t>
    </rPh>
    <rPh sb="9" eb="10">
      <t>コ</t>
    </rPh>
    <phoneticPr fontId="1"/>
  </si>
  <si>
    <t>アングル L-100</t>
  </si>
  <si>
    <t>アルミアングルL100（本）</t>
    <rPh sb="12" eb="13">
      <t>ホン</t>
    </rPh>
    <phoneticPr fontId="1"/>
  </si>
  <si>
    <t>元データキー</t>
    <phoneticPr fontId="2"/>
  </si>
  <si>
    <t>変換後製品名</t>
  </si>
  <si>
    <t>Name</t>
  </si>
  <si>
    <t>得意先</t>
  </si>
  <si>
    <t>現場</t>
  </si>
  <si>
    <t>材料</t>
  </si>
  <si>
    <t>納品日</t>
  </si>
  <si>
    <t>注文状況</t>
  </si>
  <si>
    <t>注文日</t>
  </si>
  <si>
    <t>現場状況</t>
  </si>
  <si>
    <t>チェック</t>
  </si>
  <si>
    <t>6月引き取り(亀井).xlsm</t>
  </si>
  <si>
    <t>6月引き取り(原澤).xlsm</t>
  </si>
  <si>
    <t>6月引き取り(川崎).xlsm</t>
  </si>
  <si>
    <t>6月引き取り(平木).xlsm</t>
  </si>
  <si>
    <t>6月引き取り(池本).xlsm</t>
  </si>
  <si>
    <t>UR</t>
  </si>
  <si>
    <t>メーカー</t>
  </si>
  <si>
    <t>採用分登録用</t>
  </si>
  <si>
    <t>変換候補一覧のK列に「採用」と入れた行だけ、変換リストに追加する内容として表示します。</t>
  </si>
  <si>
    <t>変換候補一覧</t>
  </si>
  <si>
    <t>A3セルはPython in Excel用の候補生成式です。候補が展開されたらK列に「採用」と入力してください。</t>
  </si>
  <si>
    <t>Python式の出力開始セルは A5 です。A:Jに候補が展開され、K列は手入力の採用欄です。</t>
  </si>
  <si>
    <t>元の材料名</t>
  </si>
  <si>
    <t>候補順位</t>
  </si>
  <si>
    <t>候補製品名</t>
  </si>
  <si>
    <t>変換前材料名</t>
  </si>
  <si>
    <t>類似対象</t>
  </si>
  <si>
    <t>判定根拠</t>
  </si>
  <si>
    <t>類似度スコア</t>
  </si>
  <si>
    <t>判定</t>
  </si>
  <si>
    <t>採用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</si>
</sst>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 yyyy&quot; 年 &quot;mm&quot; 月 &quot;\ dd&quot; 日 &quot;\ &quot;（&quot;aaaa&quot;）&quot;"/>
    <numFmt numFmtId="177" formatCode="[DBNum3]\ m"/>
    <numFmt numFmtId="178" formatCode="m"/>
    <numFmt numFmtId="179" formatCode="yyyy/mm/dd\ hh:mm"/>
  </numFmts>
  <fonts count="65">
    <font>
      <sz val="11"/>
      <color theme="1"/>
      <name val="游ゴシック"/>
      <family val="2"/>
      <charset val="128"/>
      <scheme val="minor"/>
    </font>
    <font>
      <sz val="11"/>
      <color theme="1"/>
      <name val="MS ゴシック"/>
      <family val="2"/>
      <charset val="128"/>
    </font>
    <font>
      <sz val="6"/>
      <name val="游ゴシック"/>
      <family val="2"/>
      <charset val="128"/>
      <scheme val="minor"/>
    </font>
    <font>
      <sz val="16"/>
      <color theme="1"/>
      <name val="游ゴシック"/>
      <family val="2"/>
      <charset val="128"/>
      <scheme val="minor"/>
    </font>
    <font>
      <sz val="16"/>
      <color theme="1"/>
      <name val="游ゴシック"/>
      <family val="3"/>
      <charset val="128"/>
      <scheme val="minor"/>
    </font>
    <font>
      <sz val="10"/>
      <color theme="1"/>
      <name val="游ゴシック"/>
      <family val="2"/>
      <charset val="128"/>
      <scheme val="minor"/>
    </font>
    <font>
      <sz val="10"/>
      <color theme="1"/>
      <name val="游ゴシック"/>
      <family val="3"/>
      <charset val="128"/>
      <scheme val="minor"/>
    </font>
    <font>
      <sz val="11"/>
      <color theme="1"/>
      <name val="游ゴシック"/>
      <family val="3"/>
      <charset val="128"/>
      <scheme val="minor"/>
    </font>
    <font>
      <sz val="11"/>
      <color theme="1"/>
      <name val="游ゴシック"/>
      <family val="2"/>
      <charset val="128"/>
    </font>
    <font>
      <sz val="11"/>
      <color theme="1"/>
      <name val="游ゴシック"/>
      <family val="2"/>
      <charset val="128"/>
      <scheme val="minor"/>
    </font>
    <font>
      <sz val="11"/>
      <color theme="1"/>
      <name val="MS ゴシック"/>
      <family val="2"/>
      <charset val="128"/>
    </font>
    <font>
      <sz val="12"/>
      <color theme="1"/>
      <name val="MS ゴシック"/>
      <family val="3"/>
      <charset val="128"/>
    </font>
    <font>
      <sz val="14"/>
      <color theme="1"/>
      <name val="MS ゴシック"/>
      <family val="3"/>
      <charset val="128"/>
    </font>
    <font>
      <sz val="14"/>
      <color theme="1"/>
      <name val="MS ゴシック"/>
      <charset val="128"/>
    </font>
    <font>
      <sz val="6"/>
      <name val="MS ゴシック"/>
      <family val="2"/>
      <charset val="128"/>
    </font>
    <font>
      <sz val="11"/>
      <color rgb="FFFF0000"/>
      <name val="MS ゴシック"/>
      <family val="3"/>
      <charset val="128"/>
    </font>
    <font>
      <sz val="12"/>
      <color rgb="FFFF0000"/>
      <name val="MS ゴシック"/>
      <family val="3"/>
      <charset val="128"/>
    </font>
    <font>
      <sz val="11"/>
      <color rgb="FFFF0000"/>
      <name val="MS ゴシック"/>
      <family val="2"/>
      <charset val="128"/>
    </font>
    <font>
      <sz val="14"/>
      <color theme="1"/>
      <name val="MS ゴシック"/>
      <family val="2"/>
      <charset val="128"/>
    </font>
    <font>
      <b/>
      <sz val="12"/>
      <color rgb="FFFF0000"/>
      <name val="MS ゴシック"/>
      <family val="3"/>
      <charset val="128"/>
    </font>
    <font>
      <sz val="8"/>
      <color theme="1"/>
      <name val="MS ゴシック"/>
      <family val="3"/>
      <charset val="128"/>
    </font>
    <font>
      <sz val="9"/>
      <color theme="1"/>
      <name val="MS ゴシック"/>
      <family val="3"/>
      <charset val="128"/>
    </font>
    <font>
      <sz val="16"/>
      <color theme="1"/>
      <name val="MS ゴシック"/>
      <family val="3"/>
      <charset val="128"/>
    </font>
    <font>
      <sz val="11"/>
      <color theme="1"/>
      <name val="MS ゴシック"/>
      <family val="3"/>
      <charset val="128"/>
    </font>
    <font>
      <sz val="11.5"/>
      <color theme="1"/>
      <name val="MS ゴシック"/>
      <family val="3"/>
      <charset val="128"/>
    </font>
    <font>
      <sz val="16"/>
      <color indexed="8"/>
      <name val="MS ゴシック"/>
      <family val="3"/>
      <charset val="128"/>
    </font>
    <font>
      <b/>
      <sz val="16"/>
      <color theme="1"/>
      <name val="MS ゴシック"/>
      <family val="3"/>
      <charset val="128"/>
    </font>
    <font>
      <sz val="8"/>
      <color rgb="FFFF0000"/>
      <name val="MS ゴシック"/>
      <family val="2"/>
      <charset val="128"/>
    </font>
    <font>
      <sz val="12"/>
      <color theme="1"/>
      <name val="MS ゴシック"/>
      <family val="2"/>
      <charset val="128"/>
    </font>
    <font>
      <sz val="11"/>
      <name val="MS ゴシック"/>
      <family val="3"/>
      <charset val="128"/>
    </font>
    <font>
      <sz val="12"/>
      <name val="MS ゴシック"/>
      <family val="3"/>
      <charset val="128"/>
    </font>
    <font>
      <b/>
      <sz val="12"/>
      <color theme="1"/>
      <name val="MS ゴシック"/>
      <family val="3"/>
      <charset val="128"/>
    </font>
    <font>
      <sz val="10"/>
      <color theme="1"/>
      <name val="MS ゴシック"/>
      <family val="3"/>
      <charset val="128"/>
    </font>
    <font>
      <b/>
      <sz val="10"/>
      <color theme="1"/>
      <name val="MS ゴシック"/>
      <family val="3"/>
      <charset val="128"/>
    </font>
    <font>
      <strike/>
      <sz val="11"/>
      <color theme="1"/>
      <name val="MS ゴシック"/>
      <family val="3"/>
      <charset val="128"/>
    </font>
    <font>
      <sz val="14"/>
      <name val="MS ゴシック"/>
      <family val="3"/>
      <charset val="128"/>
    </font>
    <font>
      <sz val="10"/>
      <name val="MS ゴシック"/>
      <family val="3"/>
      <charset val="128"/>
    </font>
    <font>
      <sz val="10"/>
      <color rgb="FFFF0000"/>
      <name val="MS ゴシック"/>
      <family val="3"/>
      <charset val="128"/>
    </font>
    <font>
      <sz val="16"/>
      <name val="MS ゴシック"/>
      <family val="3"/>
      <charset val="128"/>
    </font>
    <font>
      <b/>
      <sz val="10.5"/>
      <color rgb="FFFF0000"/>
      <name val="MS ゴシック"/>
      <family val="3"/>
      <charset val="128"/>
    </font>
    <font>
      <b/>
      <sz val="10.5"/>
      <name val="MS ゴシック"/>
      <family val="3"/>
      <charset val="128"/>
    </font>
    <font>
      <sz val="11"/>
      <color theme="1"/>
      <name val="メイリオ"/>
      <family val="3"/>
      <charset val="128"/>
    </font>
    <font>
      <b/>
      <sz val="11"/>
      <color rgb="FFFFFFFF"/>
      <name val="メイリオ"/>
      <family val="3"/>
      <charset val="128"/>
    </font>
    <font>
      <b/>
      <sz val="11"/>
      <color theme="1"/>
      <name val="メイリオ"/>
      <family val="3"/>
      <charset val="128"/>
    </font>
    <font>
      <b/>
      <sz val="14"/>
      <color rgb="FFFFFFFF"/>
      <name val="メイリオ"/>
      <family val="3"/>
      <charset val="128"/>
    </font>
    <font>
      <b/>
      <sz val="12"/>
      <color rgb="FF000000"/>
      <name val="メイリオ"/>
      <family val="3"/>
      <charset val="128"/>
    </font>
    <font>
      <sz val="11"/>
      <color theme="1"/>
      <name val="游ゴシック"/>
      <family val="2"/>
      <scheme val="minor"/>
    </font>
    <font>
      <sz val="11"/>
      <color rgb="FFFF0000"/>
      <name val="游ゴシック"/>
      <family val="2"/>
      <charset val="128"/>
      <scheme val="minor"/>
    </font>
    <font>
      <sz val="11"/>
      <color rgb="FFFF0000"/>
      <name val="游ゴシック"/>
      <family val="3"/>
      <charset val="128"/>
      <scheme val="minor"/>
    </font>
    <font>
      <sz val="11"/>
      <name val="游ゴシック"/>
      <family val="2"/>
      <charset val="128"/>
      <scheme val="minor"/>
    </font>
    <font>
      <b/>
      <sz val="10"/>
      <color rgb="FFFFFFFF"/>
      <name val="Arial"/>
      <family val="2"/>
    </font>
    <font>
      <b/>
      <sz val="11"/>
      <color theme="0"/>
      <name val="游ゴシック"/>
      <family val="2"/>
      <scheme val="minor"/>
    </font>
    <font>
      <sz val="6"/>
      <name val="游ゴシック"/>
      <family val="3"/>
      <charset val="128"/>
      <scheme val="minor"/>
    </font>
    <font>
      <sz val="9"/>
      <color rgb="FF276221"/>
      <name val="Arial"/>
      <family val="2"/>
    </font>
    <font>
      <sz val="9"/>
      <color rgb="FF9C5700"/>
      <name val="Arial"/>
      <family val="2"/>
    </font>
    <font>
      <sz val="9"/>
      <color rgb="FF9C5700"/>
      <name val="Arial"/>
      <family val="3"/>
      <charset val="128"/>
    </font>
    <font>
      <sz val="9"/>
      <color rgb="FF9C5700"/>
      <name val="ＭＳ ゴシック"/>
      <family val="3"/>
      <charset val="128"/>
    </font>
    <font>
      <sz val="9"/>
      <color rgb="FF17375E"/>
      <name val="Arial"/>
      <family val="2"/>
    </font>
    <font>
      <sz val="9"/>
      <color rgb="FF17375E"/>
      <name val="ＭＳ ゴシック"/>
      <family val="3"/>
      <charset val="128"/>
    </font>
    <font>
      <sz val="9"/>
      <color rgb="FF17375E"/>
      <name val="Arial"/>
      <family val="3"/>
      <charset val="128"/>
    </font>
    <font>
      <sz val="9"/>
      <color rgb="FF17375E"/>
      <name val="ＭＳ Ｐゴシック"/>
      <family val="3"/>
      <charset val="128"/>
    </font>
    <font>
      <b/>
      <sz val="11"/>
      <color theme="1"/>
      <name val="游ゴシック"/>
      <family val="3"/>
      <charset val="128"/>
      <scheme val="minor"/>
    </font>
    <font>
      <b/>
      <sz val="14"/>
      <color rgb="FF1F4E79"/>
      <name val="游ゴシック"/>
      <family val="3"/>
      <charset val="128"/>
    </font>
    <font>
      <sz val="10"/>
      <color rgb="FF666666"/>
      <name val="游ゴシック"/>
      <family val="3"/>
      <charset val="128"/>
    </font>
    <font>
      <b/>
      <sz val="11"/>
      <color rgb="FF1F4E79"/>
      <name val="游ゴシック"/>
      <family val="3"/>
      <charset val="128"/>
    </font>
  </fonts>
  <fills count="23">
    <fill>
      <patternFill patternType="none"/>
    </fill>
    <fill>
      <patternFill patternType="gray125"/>
    </fill>
    <fill>
      <patternFill patternType="solid">
        <fgColor theme="5" tint="0.79998168889431442"/>
        <bgColor indexed="64"/>
      </patternFill>
    </fill>
    <fill>
      <patternFill patternType="solid">
        <fgColor rgb="FFFFFF00"/>
        <bgColor indexed="64"/>
      </patternFill>
    </fill>
    <fill>
      <patternFill patternType="solid">
        <fgColor theme="0" tint="-0.34998626667073579"/>
        <bgColor indexed="64"/>
      </patternFill>
    </fill>
    <fill>
      <patternFill patternType="solid">
        <fgColor rgb="FF0070C0"/>
        <bgColor indexed="64"/>
      </patternFill>
    </fill>
    <fill>
      <patternFill patternType="solid">
        <fgColor rgb="FFBDD7EE"/>
        <bgColor indexed="64"/>
      </patternFill>
    </fill>
    <fill>
      <patternFill patternType="solid">
        <fgColor rgb="FFFFFFFF"/>
        <bgColor indexed="64"/>
      </patternFill>
    </fill>
    <fill>
      <patternFill patternType="solid">
        <fgColor rgb="FFB4C6E7"/>
        <bgColor indexed="64"/>
      </patternFill>
    </fill>
    <fill>
      <patternFill patternType="solid">
        <fgColor rgb="FFF2F2F2"/>
        <bgColor indexed="64"/>
      </patternFill>
    </fill>
    <fill>
      <patternFill patternType="solid">
        <fgColor theme="3" tint="0.499984740745262"/>
        <bgColor indexed="64"/>
      </patternFill>
    </fill>
    <fill>
      <patternFill patternType="solid">
        <fgColor rgb="FF2F5496"/>
      </patternFill>
    </fill>
    <fill>
      <patternFill patternType="solid">
        <fgColor theme="0" tint="-4.9989318521683403E-2"/>
        <bgColor indexed="64"/>
      </patternFill>
    </fill>
    <fill>
      <patternFill patternType="solid">
        <fgColor theme="0"/>
        <bgColor indexed="64"/>
      </patternFill>
    </fill>
    <fill>
      <patternFill patternType="solid">
        <fgColor rgb="FFC6EFCE"/>
      </patternFill>
    </fill>
    <fill>
      <patternFill patternType="solid">
        <fgColor rgb="FFFFEB9C"/>
      </patternFill>
    </fill>
    <fill>
      <patternFill patternType="solid">
        <fgColor theme="4"/>
        <bgColor theme="4"/>
      </patternFill>
    </fill>
    <fill>
      <patternFill patternType="solid">
        <fgColor theme="4" tint="0.79998168889431442"/>
        <bgColor theme="4" tint="0.79998168889431442"/>
      </patternFill>
    </fill>
    <fill>
      <patternFill patternType="solid">
        <fgColor rgb="FFDAEEF3"/>
      </patternFill>
    </fill>
    <fill>
      <patternFill patternType="solid">
        <fgColor rgb="FFDCE6F1"/>
        <bgColor indexed="64"/>
      </patternFill>
    </fill>
    <fill>
      <patternFill patternType="solid">
        <fgColor rgb="FFF2F2F2"/>
      </patternFill>
    </fill>
    <fill>
      <patternFill patternType="solid">
        <fgColor rgb="FFEEF5FB"/>
      </patternFill>
    </fill>
    <fill>
      <patternFill patternType="solid">
        <fgColor rgb="FFD9EAF7"/>
      </patternFill>
    </fill>
  </fills>
  <borders count="84">
    <border>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style="double">
        <color auto="1"/>
      </bottom>
      <diagonal/>
    </border>
    <border>
      <left/>
      <right/>
      <top/>
      <bottom style="double">
        <color auto="1"/>
      </bottom>
      <diagonal/>
    </border>
    <border>
      <left/>
      <right style="thick">
        <color auto="1"/>
      </right>
      <top/>
      <bottom style="double">
        <color auto="1"/>
      </bottom>
      <diagonal/>
    </border>
    <border>
      <left style="double">
        <color auto="1"/>
      </left>
      <right style="double">
        <color auto="1"/>
      </right>
      <top style="thick">
        <color auto="1"/>
      </top>
      <bottom style="thick">
        <color auto="1"/>
      </bottom>
      <diagonal/>
    </border>
    <border>
      <left/>
      <right style="double">
        <color auto="1"/>
      </right>
      <top/>
      <bottom style="double">
        <color auto="1"/>
      </bottom>
      <diagonal/>
    </border>
    <border>
      <left/>
      <right style="double">
        <color auto="1"/>
      </right>
      <top/>
      <bottom/>
      <diagonal/>
    </border>
    <border>
      <left/>
      <right style="double">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style="double">
        <color auto="1"/>
      </left>
      <right/>
      <top style="thick">
        <color auto="1"/>
      </top>
      <bottom style="thick">
        <color auto="1"/>
      </bottom>
      <diagonal/>
    </border>
    <border>
      <left/>
      <right style="double">
        <color auto="1"/>
      </right>
      <top style="thick">
        <color auto="1"/>
      </top>
      <bottom style="thick">
        <color auto="1"/>
      </bottom>
      <diagonal/>
    </border>
    <border>
      <left/>
      <right style="thick">
        <color auto="1"/>
      </right>
      <top style="thick">
        <color auto="1"/>
      </top>
      <bottom style="thick">
        <color auto="1"/>
      </bottom>
      <diagonal/>
    </border>
    <border>
      <left style="thick">
        <color auto="1"/>
      </left>
      <right style="thin">
        <color auto="1"/>
      </right>
      <top style="thick">
        <color auto="1"/>
      </top>
      <bottom style="double">
        <color auto="1"/>
      </bottom>
      <diagonal/>
    </border>
    <border>
      <left style="thick">
        <color auto="1"/>
      </left>
      <right style="thin">
        <color auto="1"/>
      </right>
      <top/>
      <bottom/>
      <diagonal/>
    </border>
    <border>
      <left style="thick">
        <color auto="1"/>
      </left>
      <right style="thin">
        <color auto="1"/>
      </right>
      <top/>
      <bottom style="thick">
        <color auto="1"/>
      </bottom>
      <diagonal/>
    </border>
    <border>
      <left style="double">
        <color auto="1"/>
      </left>
      <right style="thin">
        <color auto="1"/>
      </right>
      <top style="thick">
        <color auto="1"/>
      </top>
      <bottom style="double">
        <color auto="1"/>
      </bottom>
      <diagonal/>
    </border>
    <border>
      <left style="double">
        <color auto="1"/>
      </left>
      <right style="thin">
        <color auto="1"/>
      </right>
      <top/>
      <bottom/>
      <diagonal/>
    </border>
    <border>
      <left style="double">
        <color auto="1"/>
      </left>
      <right style="thin">
        <color auto="1"/>
      </right>
      <top/>
      <bottom style="thick">
        <color auto="1"/>
      </bottom>
      <diagonal/>
    </border>
    <border>
      <left style="thick">
        <color auto="1"/>
      </left>
      <right style="thin">
        <color auto="1"/>
      </right>
      <top style="thin">
        <color auto="1"/>
      </top>
      <bottom style="thin">
        <color auto="1"/>
      </bottom>
      <diagonal/>
    </border>
    <border>
      <left style="thick">
        <color auto="1"/>
      </left>
      <right/>
      <top style="thin">
        <color auto="1"/>
      </top>
      <bottom style="thin">
        <color auto="1"/>
      </bottom>
      <diagonal/>
    </border>
    <border>
      <left/>
      <right/>
      <top style="thin">
        <color auto="1"/>
      </top>
      <bottom style="thin">
        <color auto="1"/>
      </bottom>
      <diagonal/>
    </border>
    <border>
      <left/>
      <right style="thick">
        <color auto="1"/>
      </right>
      <top style="thin">
        <color auto="1"/>
      </top>
      <bottom style="thin">
        <color auto="1"/>
      </bottom>
      <diagonal/>
    </border>
    <border>
      <left style="double">
        <color auto="1"/>
      </left>
      <right style="thin">
        <color auto="1"/>
      </right>
      <top style="thin">
        <color auto="1"/>
      </top>
      <bottom style="thin">
        <color auto="1"/>
      </bottom>
      <diagonal/>
    </border>
    <border>
      <left/>
      <right style="double">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style="thin">
        <color auto="1"/>
      </top>
      <bottom style="thick">
        <color auto="1"/>
      </bottom>
      <diagonal/>
    </border>
    <border>
      <left style="thin">
        <color rgb="FFA0A0A0"/>
      </left>
      <right style="thin">
        <color rgb="FFA0A0A0"/>
      </right>
      <top/>
      <bottom style="thin">
        <color rgb="FFA0A0A0"/>
      </bottom>
      <diagonal/>
    </border>
    <border>
      <left style="double">
        <color auto="1"/>
      </left>
      <right style="thin">
        <color auto="1"/>
      </right>
      <top style="double">
        <color auto="1"/>
      </top>
      <bottom style="thin">
        <color indexed="64"/>
      </bottom>
      <diagonal/>
    </border>
    <border>
      <left/>
      <right style="thick">
        <color auto="1"/>
      </right>
      <top style="double">
        <color auto="1"/>
      </top>
      <bottom style="thin">
        <color indexed="64"/>
      </bottom>
      <diagonal/>
    </border>
    <border>
      <left style="thick">
        <color auto="1"/>
      </left>
      <right style="thick">
        <color auto="1"/>
      </right>
      <top style="thin">
        <color auto="1"/>
      </top>
      <bottom style="thick">
        <color indexed="64"/>
      </bottom>
      <diagonal/>
    </border>
    <border>
      <left style="thick">
        <color auto="1"/>
      </left>
      <right/>
      <top style="thin">
        <color auto="1"/>
      </top>
      <bottom style="thick">
        <color indexed="64"/>
      </bottom>
      <diagonal/>
    </border>
    <border>
      <left/>
      <right style="thick">
        <color auto="1"/>
      </right>
      <top style="thin">
        <color auto="1"/>
      </top>
      <bottom style="thick">
        <color indexed="64"/>
      </bottom>
      <diagonal/>
    </border>
    <border>
      <left style="thick">
        <color auto="1"/>
      </left>
      <right style="thin">
        <color auto="1"/>
      </right>
      <top style="thin">
        <color auto="1"/>
      </top>
      <bottom style="thick">
        <color indexed="64"/>
      </bottom>
      <diagonal/>
    </border>
    <border>
      <left style="double">
        <color auto="1"/>
      </left>
      <right style="thin">
        <color auto="1"/>
      </right>
      <top style="thin">
        <color auto="1"/>
      </top>
      <bottom style="thick">
        <color indexed="64"/>
      </bottom>
      <diagonal/>
    </border>
    <border>
      <left style="thin">
        <color auto="1"/>
      </left>
      <right style="double">
        <color auto="1"/>
      </right>
      <top style="thin">
        <color auto="1"/>
      </top>
      <bottom style="thick">
        <color indexed="64"/>
      </bottom>
      <diagonal/>
    </border>
    <border>
      <left/>
      <right style="double">
        <color auto="1"/>
      </right>
      <top style="thin">
        <color auto="1"/>
      </top>
      <bottom style="thick">
        <color indexed="64"/>
      </bottom>
      <diagonal/>
    </border>
    <border>
      <left style="thin">
        <color auto="1"/>
      </left>
      <right style="thin">
        <color auto="1"/>
      </right>
      <top style="thin">
        <color auto="1"/>
      </top>
      <bottom style="thick">
        <color indexed="64"/>
      </bottom>
      <diagonal/>
    </border>
    <border>
      <left style="thin">
        <color indexed="64"/>
      </left>
      <right style="thick">
        <color indexed="64"/>
      </right>
      <top style="thin">
        <color indexed="64"/>
      </top>
      <bottom style="thick">
        <color indexed="64"/>
      </bottom>
      <diagonal/>
    </border>
    <border>
      <left style="thin">
        <color rgb="FFCCCCCC"/>
      </left>
      <right style="thin">
        <color rgb="FFCCCCCC"/>
      </right>
      <top/>
      <bottom style="thin">
        <color rgb="FFCCCCCC"/>
      </bottom>
      <diagonal/>
    </border>
    <border>
      <left/>
      <right/>
      <top/>
      <bottom style="thin">
        <color rgb="FFCCCCCC"/>
      </bottom>
      <diagonal/>
    </border>
    <border>
      <left style="thin">
        <color rgb="FFCCCCCC"/>
      </left>
      <right style="thin">
        <color rgb="FFCCCCCC"/>
      </right>
      <top style="thin">
        <color rgb="FFCCCCCC"/>
      </top>
      <bottom style="thin">
        <color rgb="FFCCCCCC"/>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rgb="FFD9E2EA"/>
      </left>
      <right style="thin">
        <color rgb="FFD9E2EA"/>
      </right>
      <top style="thin">
        <color rgb="FFD9E2EA"/>
      </top>
      <bottom style="thin">
        <color rgb="FFD9E2EA"/>
      </bottom>
      <diagonal/>
    </border>
  </borders>
  <cellStyleXfs count="4">
    <xf numFmtId="0" fontId="0" fillId="0" borderId="0">
      <alignment vertical="center"/>
    </xf>
    <xf numFmtId="38" fontId="9" fillId="0" borderId="0" applyFont="0" applyFill="0" applyBorder="0" applyAlignment="0" applyProtection="0">
      <alignment vertical="center"/>
    </xf>
    <xf numFmtId="0" fontId="10" fillId="0" borderId="0">
      <alignment vertical="center"/>
    </xf>
    <xf numFmtId="0" fontId="46" fillId="0" borderId="0"/>
  </cellStyleXfs>
  <cellXfs count="713">
    <xf numFmtId="0" fontId="0" fillId="0" borderId="0" xfId="0">
      <alignment vertical="center"/>
    </xf>
    <xf numFmtId="0" fontId="24" fillId="0" borderId="38" xfId="2" applyFont="1" applyBorder="1" applyProtection="1">
      <alignment vertical="center"/>
      <protection locked="0"/>
    </xf>
    <xf numFmtId="0" fontId="24" fillId="0" borderId="39" xfId="2" applyFont="1" applyBorder="1" applyProtection="1">
      <alignment vertical="center"/>
      <protection locked="0"/>
    </xf>
    <xf numFmtId="0" fontId="24" fillId="0" borderId="39" xfId="2" applyFont="1" applyBorder="1">
      <alignment vertical="center"/>
    </xf>
    <xf numFmtId="0" fontId="24" fillId="0" borderId="40" xfId="2" applyFont="1" applyBorder="1">
      <alignment vertical="center"/>
    </xf>
    <xf numFmtId="0" fontId="24" fillId="0" borderId="44" xfId="2" applyFont="1" applyBorder="1" applyProtection="1">
      <alignment vertical="center"/>
      <protection locked="0"/>
    </xf>
    <xf numFmtId="0" fontId="24" fillId="0" borderId="0" xfId="2" applyFont="1" applyProtection="1">
      <alignment vertical="center"/>
      <protection locked="0"/>
    </xf>
    <xf numFmtId="0" fontId="24" fillId="0" borderId="0" xfId="2" applyFont="1">
      <alignment vertical="center"/>
    </xf>
    <xf numFmtId="0" fontId="24" fillId="0" borderId="41" xfId="2" applyFont="1" applyBorder="1" applyProtection="1">
      <alignment vertical="center"/>
      <protection locked="0"/>
    </xf>
    <xf numFmtId="0" fontId="24" fillId="0" borderId="36" xfId="2" applyFont="1" applyBorder="1" applyProtection="1">
      <alignment vertical="center"/>
      <protection locked="0"/>
    </xf>
    <xf numFmtId="0" fontId="24" fillId="0" borderId="36" xfId="2" applyFont="1" applyBorder="1">
      <alignment vertical="center"/>
    </xf>
    <xf numFmtId="0" fontId="23" fillId="0" borderId="0" xfId="2" applyFont="1" applyProtection="1">
      <alignment vertical="center"/>
      <protection locked="0"/>
    </xf>
    <xf numFmtId="0" fontId="24" fillId="0" borderId="45" xfId="2" applyFont="1" applyBorder="1">
      <alignment vertical="center"/>
    </xf>
    <xf numFmtId="0" fontId="33" fillId="0" borderId="0" xfId="2" applyFont="1">
      <alignment vertical="center"/>
    </xf>
    <xf numFmtId="0" fontId="33" fillId="0" borderId="0" xfId="2" applyFont="1" applyAlignment="1">
      <alignment vertical="center" wrapText="1"/>
    </xf>
    <xf numFmtId="0" fontId="0" fillId="2" borderId="0" xfId="0" applyFill="1">
      <alignment vertical="center"/>
    </xf>
    <xf numFmtId="0" fontId="0" fillId="4" borderId="35" xfId="0" quotePrefix="1" applyFill="1" applyBorder="1">
      <alignment vertical="center"/>
    </xf>
    <xf numFmtId="0" fontId="0" fillId="4" borderId="27" xfId="0" applyFill="1" applyBorder="1">
      <alignment vertical="center"/>
    </xf>
    <xf numFmtId="0" fontId="0" fillId="4" borderId="29" xfId="0" applyFill="1" applyBorder="1">
      <alignment vertical="center"/>
    </xf>
    <xf numFmtId="0" fontId="0" fillId="4" borderId="31" xfId="0" applyFill="1" applyBorder="1">
      <alignment vertical="center"/>
    </xf>
    <xf numFmtId="0" fontId="0" fillId="4" borderId="32" xfId="0" applyFill="1" applyBorder="1">
      <alignment vertical="center"/>
    </xf>
    <xf numFmtId="0" fontId="0" fillId="4" borderId="33" xfId="0" applyFill="1" applyBorder="1">
      <alignment vertical="center"/>
    </xf>
    <xf numFmtId="0" fontId="23" fillId="0" borderId="0" xfId="2" applyFont="1">
      <alignment vertical="center"/>
    </xf>
    <xf numFmtId="0" fontId="22" fillId="0" borderId="0" xfId="2" applyFont="1">
      <alignment vertical="center"/>
    </xf>
    <xf numFmtId="0" fontId="22" fillId="0" borderId="0" xfId="2" applyFont="1" applyProtection="1">
      <alignment vertical="center"/>
      <protection locked="0"/>
    </xf>
    <xf numFmtId="176" fontId="23" fillId="0" borderId="41" xfId="2" applyNumberFormat="1" applyFont="1" applyBorder="1" applyProtection="1">
      <alignment vertical="center"/>
      <protection locked="0"/>
    </xf>
    <xf numFmtId="176" fontId="23" fillId="0" borderId="38" xfId="2" applyNumberFormat="1" applyFont="1" applyBorder="1" applyProtection="1">
      <alignment vertical="center"/>
      <protection locked="0"/>
    </xf>
    <xf numFmtId="0" fontId="23" fillId="0" borderId="42" xfId="2" applyFont="1" applyBorder="1" applyAlignment="1" applyProtection="1">
      <alignment vertical="center" textRotation="255"/>
      <protection locked="0"/>
    </xf>
    <xf numFmtId="0" fontId="23" fillId="0" borderId="41" xfId="2" applyFont="1" applyBorder="1" applyAlignment="1" applyProtection="1">
      <alignment vertical="center" textRotation="255"/>
      <protection locked="0"/>
    </xf>
    <xf numFmtId="0" fontId="24" fillId="0" borderId="42" xfId="2" applyFont="1" applyBorder="1">
      <alignment vertical="center"/>
    </xf>
    <xf numFmtId="0" fontId="23" fillId="0" borderId="42" xfId="2" applyFont="1" applyBorder="1">
      <alignment vertical="center"/>
    </xf>
    <xf numFmtId="0" fontId="23" fillId="0" borderId="41" xfId="2" applyFont="1" applyBorder="1" applyProtection="1">
      <alignment vertical="center"/>
      <protection locked="0"/>
    </xf>
    <xf numFmtId="0" fontId="23" fillId="0" borderId="45" xfId="2" applyFont="1" applyBorder="1">
      <alignment vertical="center"/>
    </xf>
    <xf numFmtId="0" fontId="23" fillId="0" borderId="44" xfId="2" applyFont="1" applyBorder="1" applyProtection="1">
      <alignment vertical="center"/>
      <protection locked="0"/>
    </xf>
    <xf numFmtId="0" fontId="23" fillId="0" borderId="40" xfId="2" applyFont="1" applyBorder="1">
      <alignment vertical="center"/>
    </xf>
    <xf numFmtId="0" fontId="23" fillId="0" borderId="38" xfId="2" applyFont="1" applyBorder="1" applyProtection="1">
      <alignment vertical="center"/>
      <protection locked="0"/>
    </xf>
    <xf numFmtId="0" fontId="39" fillId="3" borderId="45" xfId="0" applyFont="1" applyFill="1" applyBorder="1">
      <alignment vertical="center"/>
    </xf>
    <xf numFmtId="0" fontId="24" fillId="3" borderId="0" xfId="2" applyFont="1" applyFill="1">
      <alignment vertical="center"/>
    </xf>
    <xf numFmtId="0" fontId="24" fillId="3" borderId="0" xfId="2" applyFont="1" applyFill="1" applyProtection="1">
      <alignment vertical="center"/>
      <protection locked="0"/>
    </xf>
    <xf numFmtId="0" fontId="24" fillId="3" borderId="44" xfId="2" applyFont="1" applyFill="1" applyBorder="1" applyProtection="1">
      <alignment vertical="center"/>
      <protection locked="0"/>
    </xf>
    <xf numFmtId="0" fontId="22" fillId="0" borderId="10" xfId="2" applyFont="1" applyBorder="1">
      <alignment vertical="center"/>
    </xf>
    <xf numFmtId="0" fontId="23" fillId="0" borderId="0" xfId="2" applyFont="1" applyAlignment="1">
      <alignment vertical="center" textRotation="255"/>
    </xf>
    <xf numFmtId="0" fontId="41" fillId="0" borderId="0" xfId="0" applyFont="1">
      <alignment vertical="center"/>
    </xf>
    <xf numFmtId="0" fontId="43" fillId="8" borderId="65" xfId="0" applyFont="1" applyFill="1" applyBorder="1" applyAlignment="1">
      <alignment horizontal="center" vertical="center"/>
    </xf>
    <xf numFmtId="0" fontId="43" fillId="8" borderId="0" xfId="0" applyFont="1" applyFill="1" applyBorder="1" applyAlignment="1">
      <alignment horizontal="center" vertical="center"/>
    </xf>
    <xf numFmtId="179" fontId="43" fillId="8" borderId="0" xfId="0" applyNumberFormat="1" applyFont="1" applyFill="1" applyBorder="1" applyAlignment="1">
      <alignment horizontal="center" vertical="center"/>
    </xf>
    <xf numFmtId="0" fontId="43" fillId="6" borderId="37" xfId="0" applyFont="1" applyFill="1" applyBorder="1" applyAlignment="1">
      <alignment horizontal="center"/>
    </xf>
    <xf numFmtId="0" fontId="41" fillId="0" borderId="0" xfId="0" applyFont="1" applyAlignment="1">
      <alignment horizontal="center"/>
    </xf>
    <xf numFmtId="0" fontId="42" fillId="5" borderId="38" xfId="0" applyFont="1" applyFill="1" applyBorder="1" applyAlignment="1">
      <alignment horizontal="center"/>
    </xf>
    <xf numFmtId="0" fontId="42" fillId="5" borderId="43" xfId="0" applyFont="1" applyFill="1" applyBorder="1" applyAlignment="1">
      <alignment horizontal="center"/>
    </xf>
    <xf numFmtId="0" fontId="42" fillId="5" borderId="40" xfId="0" applyFont="1" applyFill="1" applyBorder="1" applyAlignment="1">
      <alignment horizontal="center"/>
    </xf>
    <xf numFmtId="0" fontId="46" fillId="0" borderId="0" xfId="3"/>
    <xf numFmtId="0" fontId="41" fillId="9" borderId="56" xfId="0" applyFont="1" applyFill="1" applyBorder="1" applyAlignment="1">
      <alignment horizontal="center"/>
    </xf>
    <xf numFmtId="0" fontId="41" fillId="9" borderId="37" xfId="0" applyFont="1" applyFill="1" applyBorder="1" applyAlignment="1">
      <alignment horizontal="center"/>
    </xf>
    <xf numFmtId="0" fontId="41" fillId="12" borderId="57" xfId="0" applyFont="1" applyFill="1" applyBorder="1" applyAlignment="1">
      <alignment horizontal="center"/>
    </xf>
    <xf numFmtId="0" fontId="0" fillId="13" borderId="0" xfId="0" applyFill="1">
      <alignment vertical="center"/>
    </xf>
    <xf numFmtId="0" fontId="3" fillId="13" borderId="0" xfId="0" applyFont="1" applyFill="1">
      <alignment vertical="center"/>
    </xf>
    <xf numFmtId="0" fontId="4" fillId="13" borderId="0" xfId="0" applyFont="1" applyFill="1">
      <alignment vertical="center"/>
    </xf>
    <xf numFmtId="0" fontId="4" fillId="13" borderId="0" xfId="0" applyFont="1" applyFill="1" applyAlignment="1">
      <alignment horizontal="right" vertical="center"/>
    </xf>
    <xf numFmtId="0" fontId="0" fillId="13" borderId="21" xfId="0" applyFill="1" applyBorder="1" applyAlignment="1">
      <alignment horizontal="center" vertical="center"/>
    </xf>
    <xf numFmtId="0" fontId="0" fillId="13" borderId="10" xfId="0" applyFill="1" applyBorder="1" applyAlignment="1">
      <alignment horizontal="center" vertical="center"/>
    </xf>
    <xf numFmtId="0" fontId="0" fillId="13" borderId="24" xfId="0" applyFill="1" applyBorder="1" applyAlignment="1">
      <alignment horizontal="center" vertical="center"/>
    </xf>
    <xf numFmtId="0" fontId="0" fillId="13" borderId="13" xfId="0" applyFill="1" applyBorder="1" applyAlignment="1">
      <alignment horizontal="center" vertical="center"/>
    </xf>
    <xf numFmtId="0" fontId="0" fillId="13" borderId="11" xfId="0" applyFill="1" applyBorder="1" applyAlignment="1">
      <alignment horizontal="center" vertical="center"/>
    </xf>
    <xf numFmtId="0" fontId="0" fillId="13" borderId="35" xfId="0" applyFill="1" applyBorder="1">
      <alignment vertical="center"/>
    </xf>
    <xf numFmtId="0" fontId="0" fillId="13" borderId="22" xfId="0" applyFill="1" applyBorder="1">
      <alignment vertical="center"/>
    </xf>
    <xf numFmtId="0" fontId="0" fillId="13" borderId="25" xfId="0" applyFill="1" applyBorder="1">
      <alignment vertical="center"/>
    </xf>
    <xf numFmtId="0" fontId="0" fillId="13" borderId="14" xfId="0" applyFill="1" applyBorder="1">
      <alignment vertical="center"/>
    </xf>
    <xf numFmtId="0" fontId="0" fillId="13" borderId="66" xfId="0" applyFill="1" applyBorder="1">
      <alignment vertical="center"/>
    </xf>
    <xf numFmtId="0" fontId="0" fillId="13" borderId="67" xfId="0" applyFill="1" applyBorder="1">
      <alignment vertical="center"/>
    </xf>
    <xf numFmtId="0" fontId="0" fillId="13" borderId="35" xfId="0" quotePrefix="1" applyFill="1" applyBorder="1">
      <alignment vertical="center"/>
    </xf>
    <xf numFmtId="0" fontId="0" fillId="13" borderId="27" xfId="0" applyFill="1" applyBorder="1">
      <alignment vertical="center"/>
    </xf>
    <xf numFmtId="0" fontId="0" fillId="13" borderId="29" xfId="0" applyFill="1" applyBorder="1">
      <alignment vertical="center"/>
    </xf>
    <xf numFmtId="0" fontId="0" fillId="13" borderId="31" xfId="0" applyFill="1" applyBorder="1">
      <alignment vertical="center"/>
    </xf>
    <xf numFmtId="0" fontId="0" fillId="13" borderId="32" xfId="0" applyFill="1" applyBorder="1">
      <alignment vertical="center"/>
    </xf>
    <xf numFmtId="0" fontId="0" fillId="13" borderId="37" xfId="0" applyFill="1" applyBorder="1">
      <alignment vertical="center"/>
    </xf>
    <xf numFmtId="0" fontId="0" fillId="13" borderId="33" xfId="0" applyFill="1" applyBorder="1">
      <alignment vertical="center"/>
    </xf>
    <xf numFmtId="0" fontId="0" fillId="13" borderId="0" xfId="0" applyFill="1" applyAlignment="1">
      <alignment horizontal="center" vertical="center"/>
    </xf>
    <xf numFmtId="0" fontId="47" fillId="13" borderId="35" xfId="0" quotePrefix="1" applyFont="1" applyFill="1" applyBorder="1">
      <alignment vertical="center"/>
    </xf>
    <xf numFmtId="0" fontId="48" fillId="13" borderId="27" xfId="0" applyFont="1" applyFill="1" applyBorder="1">
      <alignment vertical="center"/>
    </xf>
    <xf numFmtId="0" fontId="48" fillId="13" borderId="29" xfId="0" applyFont="1" applyFill="1" applyBorder="1">
      <alignment vertical="center"/>
    </xf>
    <xf numFmtId="0" fontId="48" fillId="13" borderId="31" xfId="0" applyFont="1" applyFill="1" applyBorder="1">
      <alignment vertical="center"/>
    </xf>
    <xf numFmtId="0" fontId="48" fillId="13" borderId="32" xfId="0" applyFont="1" applyFill="1" applyBorder="1">
      <alignment vertical="center"/>
    </xf>
    <xf numFmtId="0" fontId="48" fillId="13" borderId="37" xfId="0" applyFont="1" applyFill="1" applyBorder="1">
      <alignment vertical="center"/>
    </xf>
    <xf numFmtId="0" fontId="48" fillId="13" borderId="33" xfId="0" applyFont="1" applyFill="1" applyBorder="1">
      <alignment vertical="center"/>
    </xf>
    <xf numFmtId="0" fontId="48" fillId="13" borderId="0" xfId="0" applyFont="1" applyFill="1">
      <alignment vertical="center"/>
    </xf>
    <xf numFmtId="0" fontId="0" fillId="13" borderId="68" xfId="0" quotePrefix="1" applyFill="1" applyBorder="1">
      <alignment vertical="center"/>
    </xf>
    <xf numFmtId="0" fontId="0" fillId="13" borderId="71" xfId="0" applyFill="1" applyBorder="1">
      <alignment vertical="center"/>
    </xf>
    <xf numFmtId="0" fontId="0" fillId="13" borderId="64" xfId="0" applyFill="1" applyBorder="1">
      <alignment vertical="center"/>
    </xf>
    <xf numFmtId="0" fontId="0" fillId="13" borderId="72" xfId="0" applyFill="1" applyBorder="1">
      <alignment vertical="center"/>
    </xf>
    <xf numFmtId="0" fontId="0" fillId="13" borderId="73" xfId="0" applyFill="1" applyBorder="1">
      <alignment vertical="center"/>
    </xf>
    <xf numFmtId="0" fontId="0" fillId="13" borderId="74" xfId="0" applyFill="1" applyBorder="1">
      <alignment vertical="center"/>
    </xf>
    <xf numFmtId="0" fontId="0" fillId="13" borderId="75" xfId="0" applyFill="1" applyBorder="1">
      <alignment vertical="center"/>
    </xf>
    <xf numFmtId="0" fontId="0" fillId="13" borderId="76" xfId="0" applyFill="1" applyBorder="1">
      <alignment vertical="center"/>
    </xf>
    <xf numFmtId="0" fontId="0" fillId="3" borderId="31" xfId="0" applyFill="1" applyBorder="1">
      <alignment vertical="center"/>
    </xf>
    <xf numFmtId="0" fontId="0" fillId="3" borderId="32" xfId="0" applyFill="1" applyBorder="1">
      <alignment vertical="center"/>
    </xf>
    <xf numFmtId="0" fontId="0" fillId="4" borderId="37" xfId="0" applyFill="1" applyBorder="1">
      <alignment vertical="center"/>
    </xf>
    <xf numFmtId="0" fontId="0" fillId="4" borderId="0" xfId="0" applyFill="1">
      <alignment vertical="center"/>
    </xf>
    <xf numFmtId="0" fontId="0" fillId="13" borderId="23" xfId="0" applyFill="1" applyBorder="1">
      <alignment vertical="center"/>
    </xf>
    <xf numFmtId="0" fontId="0" fillId="13" borderId="7" xfId="0" applyFill="1" applyBorder="1">
      <alignment vertical="center"/>
    </xf>
    <xf numFmtId="0" fontId="0" fillId="13" borderId="26" xfId="0" applyFill="1" applyBorder="1">
      <alignment vertical="center"/>
    </xf>
    <xf numFmtId="0" fontId="0" fillId="13" borderId="15" xfId="0" applyFill="1" applyBorder="1">
      <alignment vertical="center"/>
    </xf>
    <xf numFmtId="0" fontId="0" fillId="13" borderId="8" xfId="0" applyFill="1" applyBorder="1">
      <alignment vertical="center"/>
    </xf>
    <xf numFmtId="0" fontId="48" fillId="13" borderId="35" xfId="0" quotePrefix="1" applyFont="1" applyFill="1" applyBorder="1">
      <alignment vertical="center"/>
    </xf>
    <xf numFmtId="0" fontId="0" fillId="3" borderId="29" xfId="0" applyFill="1" applyBorder="1">
      <alignment vertical="center"/>
    </xf>
    <xf numFmtId="0" fontId="47" fillId="13" borderId="31" xfId="0" applyFont="1" applyFill="1" applyBorder="1">
      <alignment vertical="center"/>
    </xf>
    <xf numFmtId="0" fontId="49" fillId="13" borderId="35" xfId="0" quotePrefix="1" applyFont="1" applyFill="1" applyBorder="1">
      <alignment vertical="center"/>
    </xf>
    <xf numFmtId="0" fontId="49" fillId="13" borderId="27" xfId="0" applyFont="1" applyFill="1" applyBorder="1">
      <alignment vertical="center"/>
    </xf>
    <xf numFmtId="0" fontId="49" fillId="13" borderId="29" xfId="0" applyFont="1" applyFill="1" applyBorder="1">
      <alignment vertical="center"/>
    </xf>
    <xf numFmtId="0" fontId="49" fillId="13" borderId="31" xfId="0" applyFont="1" applyFill="1" applyBorder="1">
      <alignment vertical="center"/>
    </xf>
    <xf numFmtId="0" fontId="49" fillId="13" borderId="32" xfId="0" applyFont="1" applyFill="1" applyBorder="1">
      <alignment vertical="center"/>
    </xf>
    <xf numFmtId="0" fontId="49" fillId="13" borderId="0" xfId="0" applyFont="1" applyFill="1">
      <alignment vertical="center"/>
    </xf>
    <xf numFmtId="0" fontId="50" fillId="11" borderId="77" xfId="3" applyFont="1" applyFill="1" applyBorder="1" applyAlignment="1">
      <alignment horizontal="center" vertical="center" wrapText="1"/>
    </xf>
    <xf numFmtId="0" fontId="51" fillId="16" borderId="78" xfId="3" applyFont="1" applyFill="1" applyBorder="1"/>
    <xf numFmtId="0" fontId="46" fillId="0" borderId="78" xfId="3" applyBorder="1"/>
    <xf numFmtId="0" fontId="53" fillId="14" borderId="79" xfId="3" applyFont="1" applyFill="1" applyBorder="1" applyAlignment="1">
      <alignment vertical="center"/>
    </xf>
    <xf numFmtId="0" fontId="46" fillId="17" borderId="80" xfId="3" applyFill="1" applyBorder="1"/>
    <xf numFmtId="0" fontId="46" fillId="0" borderId="81" xfId="3" applyBorder="1"/>
    <xf numFmtId="0" fontId="46" fillId="0" borderId="80" xfId="3" applyBorder="1"/>
    <xf numFmtId="0" fontId="54" fillId="15" borderId="79" xfId="3" applyFont="1" applyFill="1" applyBorder="1" applyAlignment="1">
      <alignment vertical="center"/>
    </xf>
    <xf numFmtId="0" fontId="55" fillId="15" borderId="79" xfId="3" applyFont="1" applyFill="1" applyBorder="1" applyAlignment="1">
      <alignment vertical="center"/>
    </xf>
    <xf numFmtId="0" fontId="57" fillId="18" borderId="79" xfId="3" applyFont="1" applyFill="1" applyBorder="1" applyAlignment="1">
      <alignment vertical="center"/>
    </xf>
    <xf numFmtId="0" fontId="59" fillId="18" borderId="79" xfId="3" applyFont="1" applyFill="1" applyBorder="1" applyAlignment="1">
      <alignment vertical="center"/>
    </xf>
    <xf numFmtId="0" fontId="46" fillId="0" borderId="82" xfId="3" applyBorder="1"/>
    <xf numFmtId="0" fontId="61" fillId="19" borderId="0" xfId="0" applyFont="1" applyFill="1">
      <alignment vertical="center"/>
    </xf>
    <xf numFmtId="0" fontId="0" fillId="0" borderId="0" xfId="0" applyNumberFormat="1">
      <alignment vertical="center"/>
    </xf>
    <xf numFmtId="0" fontId="61" fillId="0" borderId="0" xfId="0" applyFont="1" applyFill="1">
      <alignment vertical="center"/>
    </xf>
    <xf numFmtId="0" fontId="0" fillId="0" borderId="0" xfId="0" applyAlignment="1"/>
    <xf numFmtId="0" fontId="64" fillId="22" borderId="83" xfId="0" applyFont="1" applyFill="1" applyBorder="1" applyAlignment="1">
      <alignment horizontal="center"/>
    </xf>
    <xf numFmtId="0" fontId="0" fillId="0" borderId="83" xfId="0" applyBorder="1" applyAlignment="1">
      <alignment vertical="center" wrapText="1"/>
    </xf>
    <xf numFmtId="0" fontId="64" fillId="22" borderId="83" xfId="0" applyFont="1" applyFill="1" applyBorder="1" applyAlignment="1">
      <alignment horizontal="center" vertical="center" wrapText="1"/>
    </xf>
    <xf numFmtId="0" fontId="0" fillId="13" borderId="28" xfId="0" applyFill="1" applyBorder="1" applyAlignment="1">
      <alignment horizontal="left" vertical="center"/>
    </xf>
    <xf numFmtId="0" fontId="0" fillId="13" borderId="29" xfId="0" applyFill="1" applyBorder="1" applyAlignment="1">
      <alignment horizontal="left" vertical="center"/>
    </xf>
    <xf numFmtId="0" fontId="0" fillId="13" borderId="30" xfId="0" applyFill="1" applyBorder="1" applyAlignment="1">
      <alignment horizontal="left" vertical="center"/>
    </xf>
    <xf numFmtId="0" fontId="0" fillId="13" borderId="6" xfId="0" applyFill="1" applyBorder="1" applyAlignment="1">
      <alignment horizontal="left" vertical="center"/>
    </xf>
    <xf numFmtId="0" fontId="0" fillId="13" borderId="7" xfId="0" applyFill="1" applyBorder="1" applyAlignment="1">
      <alignment horizontal="left" vertical="center"/>
    </xf>
    <xf numFmtId="0" fontId="0" fillId="13" borderId="8" xfId="0" applyFill="1" applyBorder="1" applyAlignment="1">
      <alignment horizontal="left" vertical="center"/>
    </xf>
    <xf numFmtId="0" fontId="47" fillId="13" borderId="28" xfId="0" applyFont="1" applyFill="1" applyBorder="1" applyAlignment="1">
      <alignment horizontal="left" vertical="center"/>
    </xf>
    <xf numFmtId="0" fontId="48" fillId="13" borderId="29" xfId="0" applyFont="1" applyFill="1" applyBorder="1" applyAlignment="1">
      <alignment horizontal="left" vertical="center"/>
    </xf>
    <xf numFmtId="0" fontId="48" fillId="13" borderId="30" xfId="0" applyFont="1" applyFill="1" applyBorder="1" applyAlignment="1">
      <alignment horizontal="left" vertical="center"/>
    </xf>
    <xf numFmtId="0" fontId="48" fillId="13" borderId="28" xfId="0" applyFont="1" applyFill="1" applyBorder="1" applyAlignment="1">
      <alignment horizontal="left" vertical="center"/>
    </xf>
    <xf numFmtId="0" fontId="7" fillId="13" borderId="28" xfId="0" applyFont="1" applyFill="1" applyBorder="1" applyAlignment="1">
      <alignment horizontal="left" vertical="center"/>
    </xf>
    <xf numFmtId="0" fontId="7" fillId="13" borderId="29" xfId="0" applyFont="1" applyFill="1" applyBorder="1" applyAlignment="1">
      <alignment horizontal="left" vertical="center"/>
    </xf>
    <xf numFmtId="0" fontId="7" fillId="13" borderId="30" xfId="0" applyFont="1" applyFill="1" applyBorder="1" applyAlignment="1">
      <alignment horizontal="left" vertical="center"/>
    </xf>
    <xf numFmtId="0" fontId="6" fillId="13" borderId="28" xfId="0" applyFont="1" applyFill="1" applyBorder="1" applyAlignment="1">
      <alignment horizontal="left" vertical="center"/>
    </xf>
    <xf numFmtId="0" fontId="6" fillId="13" borderId="29" xfId="0" applyFont="1" applyFill="1" applyBorder="1" applyAlignment="1">
      <alignment horizontal="left" vertical="center"/>
    </xf>
    <xf numFmtId="0" fontId="6" fillId="13" borderId="30" xfId="0" applyFont="1" applyFill="1" applyBorder="1" applyAlignment="1">
      <alignment horizontal="left" vertical="center"/>
    </xf>
    <xf numFmtId="0" fontId="0" fillId="13" borderId="17" xfId="0" applyFill="1" applyBorder="1" applyAlignment="1">
      <alignment horizontal="center" vertical="center"/>
    </xf>
    <xf numFmtId="0" fontId="0" fillId="13" borderId="19" xfId="0" applyFill="1" applyBorder="1" applyAlignment="1">
      <alignment horizontal="center" vertical="center"/>
    </xf>
    <xf numFmtId="0" fontId="0" fillId="13" borderId="20" xfId="0" applyFill="1" applyBorder="1" applyAlignment="1">
      <alignment horizontal="center" vertical="center"/>
    </xf>
    <xf numFmtId="0" fontId="0" fillId="13" borderId="4" xfId="0" applyFill="1" applyBorder="1" applyAlignment="1">
      <alignment horizontal="left" vertical="center"/>
    </xf>
    <xf numFmtId="0" fontId="0" fillId="13" borderId="0" xfId="0" applyFill="1" applyAlignment="1">
      <alignment horizontal="left" vertical="center"/>
    </xf>
    <xf numFmtId="0" fontId="0" fillId="13" borderId="5" xfId="0" applyFill="1" applyBorder="1" applyAlignment="1">
      <alignment horizontal="left" vertical="center"/>
    </xf>
    <xf numFmtId="0" fontId="4" fillId="13" borderId="64" xfId="0" applyFont="1" applyFill="1" applyBorder="1" applyAlignment="1">
      <alignment horizontal="right" vertical="center"/>
    </xf>
    <xf numFmtId="0" fontId="0" fillId="13" borderId="34" xfId="0" applyFill="1" applyBorder="1" applyAlignment="1">
      <alignment horizontal="center" vertical="center"/>
    </xf>
    <xf numFmtId="0" fontId="0" fillId="13" borderId="35" xfId="0" applyFill="1" applyBorder="1" applyAlignment="1">
      <alignment horizontal="center" vertical="center"/>
    </xf>
    <xf numFmtId="0" fontId="0" fillId="13" borderId="1" xfId="0" applyFill="1" applyBorder="1" applyAlignment="1">
      <alignment horizontal="center" vertical="center"/>
    </xf>
    <xf numFmtId="0" fontId="0" fillId="13" borderId="2" xfId="0" applyFill="1" applyBorder="1" applyAlignment="1">
      <alignment horizontal="center" vertical="center"/>
    </xf>
    <xf numFmtId="0" fontId="0" fillId="13" borderId="3" xfId="0" applyFill="1" applyBorder="1" applyAlignment="1">
      <alignment horizontal="center" vertical="center"/>
    </xf>
    <xf numFmtId="0" fontId="0" fillId="13" borderId="9" xfId="0" applyFill="1" applyBorder="1" applyAlignment="1">
      <alignment horizontal="center" vertical="center"/>
    </xf>
    <xf numFmtId="0" fontId="0" fillId="13" borderId="10" xfId="0" applyFill="1" applyBorder="1" applyAlignment="1">
      <alignment horizontal="center" vertical="center"/>
    </xf>
    <xf numFmtId="0" fontId="0" fillId="13" borderId="11" xfId="0" applyFill="1" applyBorder="1" applyAlignment="1">
      <alignment horizontal="center" vertical="center"/>
    </xf>
    <xf numFmtId="0" fontId="0" fillId="13" borderId="16" xfId="0" applyFill="1" applyBorder="1" applyAlignment="1">
      <alignment horizontal="center" vertical="center"/>
    </xf>
    <xf numFmtId="0" fontId="0" fillId="13" borderId="18" xfId="0" applyFill="1" applyBorder="1" applyAlignment="1">
      <alignment horizontal="center" vertical="center"/>
    </xf>
    <xf numFmtId="0" fontId="0" fillId="13" borderId="12" xfId="0" applyFill="1" applyBorder="1" applyAlignment="1">
      <alignment horizontal="center" vertical="center"/>
    </xf>
    <xf numFmtId="0" fontId="4" fillId="13" borderId="17" xfId="0" applyFont="1" applyFill="1" applyBorder="1" applyAlignment="1">
      <alignment horizontal="right" vertical="center"/>
    </xf>
    <xf numFmtId="0" fontId="5" fillId="13" borderId="28" xfId="0" applyFont="1" applyFill="1" applyBorder="1" applyAlignment="1">
      <alignment horizontal="left" vertical="center"/>
    </xf>
    <xf numFmtId="0" fontId="0" fillId="4" borderId="28" xfId="0" applyFill="1" applyBorder="1" applyAlignment="1">
      <alignment horizontal="left" vertical="center"/>
    </xf>
    <xf numFmtId="0" fontId="0" fillId="4" borderId="29" xfId="0" applyFill="1" applyBorder="1" applyAlignment="1">
      <alignment horizontal="left" vertical="center"/>
    </xf>
    <xf numFmtId="0" fontId="0" fillId="4" borderId="30" xfId="0" applyFill="1" applyBorder="1" applyAlignment="1">
      <alignment horizontal="left" vertical="center"/>
    </xf>
    <xf numFmtId="0" fontId="0" fillId="13" borderId="69" xfId="0" applyFill="1" applyBorder="1" applyAlignment="1">
      <alignment horizontal="left" vertical="center"/>
    </xf>
    <xf numFmtId="0" fontId="0" fillId="13" borderId="64" xfId="0" applyFill="1" applyBorder="1" applyAlignment="1">
      <alignment horizontal="left" vertical="center"/>
    </xf>
    <xf numFmtId="0" fontId="0" fillId="13" borderId="70" xfId="0" applyFill="1" applyBorder="1" applyAlignment="1">
      <alignment horizontal="left" vertical="center"/>
    </xf>
    <xf numFmtId="0" fontId="4" fillId="13" borderId="7" xfId="0" applyFont="1" applyFill="1" applyBorder="1" applyAlignment="1">
      <alignment horizontal="right" vertical="center"/>
    </xf>
    <xf numFmtId="0" fontId="44" fillId="10" borderId="0" xfId="0" applyFont="1" applyFill="1" applyAlignment="1">
      <alignment horizontal="center" vertical="center"/>
    </xf>
    <xf numFmtId="0" fontId="41" fillId="10" borderId="0" xfId="0" applyFont="1" applyFill="1" applyAlignment="1">
      <alignment horizontal="center" vertical="center"/>
    </xf>
    <xf numFmtId="0" fontId="41" fillId="7" borderId="37" xfId="0" applyFont="1" applyFill="1" applyBorder="1" applyAlignment="1">
      <alignment horizontal="center"/>
    </xf>
    <xf numFmtId="49" fontId="23" fillId="0" borderId="53" xfId="2" applyNumberFormat="1" applyFont="1" applyBorder="1" applyAlignment="1">
      <alignment horizontal="center" vertical="center"/>
    </xf>
    <xf numFmtId="49" fontId="23" fillId="0" borderId="52" xfId="2" applyNumberFormat="1" applyFont="1" applyBorder="1" applyAlignment="1">
      <alignment horizontal="center" vertical="center"/>
    </xf>
    <xf numFmtId="49" fontId="23" fillId="0" borderId="51" xfId="2" applyNumberFormat="1" applyFont="1" applyBorder="1" applyAlignment="1">
      <alignment horizontal="center" vertical="center"/>
    </xf>
    <xf numFmtId="49" fontId="23" fillId="0" borderId="40" xfId="2" applyNumberFormat="1" applyFont="1" applyBorder="1" applyAlignment="1">
      <alignment horizontal="center" vertical="center"/>
    </xf>
    <xf numFmtId="49" fontId="23" fillId="0" borderId="39" xfId="2" applyNumberFormat="1" applyFont="1" applyBorder="1" applyAlignment="1">
      <alignment horizontal="center" vertical="center"/>
    </xf>
    <xf numFmtId="49" fontId="23" fillId="0" borderId="38" xfId="2" applyNumberFormat="1" applyFont="1" applyBorder="1" applyAlignment="1">
      <alignment horizontal="center" vertical="center"/>
    </xf>
    <xf numFmtId="0" fontId="23" fillId="0" borderId="50" xfId="2" applyFont="1" applyBorder="1" applyAlignment="1">
      <alignment horizontal="center" vertical="center"/>
    </xf>
    <xf numFmtId="0" fontId="23" fillId="0" borderId="37" xfId="2" applyFont="1" applyBorder="1" applyAlignment="1">
      <alignment horizontal="center" vertical="center"/>
    </xf>
    <xf numFmtId="0" fontId="22" fillId="0" borderId="50" xfId="2" applyFont="1" applyBorder="1" applyAlignment="1">
      <alignment horizontal="center" vertical="center"/>
    </xf>
    <xf numFmtId="0" fontId="22" fillId="0" borderId="54" xfId="2" applyFont="1" applyBorder="1" applyAlignment="1">
      <alignment horizontal="center" vertical="center"/>
    </xf>
    <xf numFmtId="0" fontId="32" fillId="0" borderId="53" xfId="2" applyFont="1" applyBorder="1" applyAlignment="1">
      <alignment horizontal="center" vertical="center"/>
    </xf>
    <xf numFmtId="0" fontId="32" fillId="0" borderId="52" xfId="2" applyFont="1" applyBorder="1" applyAlignment="1">
      <alignment horizontal="center" vertical="center"/>
    </xf>
    <xf numFmtId="0" fontId="32" fillId="0" borderId="51" xfId="2" applyFont="1" applyBorder="1" applyAlignment="1">
      <alignment horizontal="center" vertical="center"/>
    </xf>
    <xf numFmtId="0" fontId="32" fillId="0" borderId="40" xfId="2" applyFont="1" applyBorder="1" applyAlignment="1">
      <alignment horizontal="center" vertical="center"/>
    </xf>
    <xf numFmtId="0" fontId="32" fillId="0" borderId="39" xfId="2" applyFont="1" applyBorder="1" applyAlignment="1">
      <alignment horizontal="center" vertical="center"/>
    </xf>
    <xf numFmtId="0" fontId="32" fillId="0" borderId="38" xfId="2" applyFont="1" applyBorder="1" applyAlignment="1">
      <alignment horizontal="center" vertical="center"/>
    </xf>
    <xf numFmtId="49" fontId="25" fillId="0" borderId="0" xfId="1" applyNumberFormat="1" applyFont="1" applyAlignment="1">
      <alignment horizontal="right" vertical="center"/>
    </xf>
    <xf numFmtId="176" fontId="11" fillId="0" borderId="37" xfId="2" applyNumberFormat="1" applyFont="1" applyBorder="1" applyAlignment="1">
      <alignment horizontal="center" vertical="center"/>
    </xf>
    <xf numFmtId="0" fontId="23" fillId="0" borderId="42" xfId="2" applyFont="1" applyBorder="1" applyAlignment="1">
      <alignment horizontal="center" vertical="center"/>
    </xf>
    <xf numFmtId="0" fontId="23" fillId="0" borderId="36" xfId="2" applyFont="1" applyBorder="1" applyAlignment="1">
      <alignment horizontal="center" vertical="center"/>
    </xf>
    <xf numFmtId="0" fontId="23" fillId="0" borderId="41" xfId="2" applyFont="1" applyBorder="1" applyAlignment="1">
      <alignment horizontal="center" vertical="center"/>
    </xf>
    <xf numFmtId="0" fontId="23" fillId="0" borderId="45" xfId="2" applyFont="1" applyBorder="1" applyAlignment="1">
      <alignment horizontal="center" vertical="center"/>
    </xf>
    <xf numFmtId="0" fontId="23" fillId="0" borderId="0" xfId="2" applyFont="1" applyAlignment="1">
      <alignment horizontal="center" vertical="center"/>
    </xf>
    <xf numFmtId="0" fontId="23" fillId="0" borderId="44" xfId="2" applyFont="1" applyBorder="1" applyAlignment="1">
      <alignment horizontal="center" vertical="center"/>
    </xf>
    <xf numFmtId="0" fontId="23" fillId="0" borderId="40" xfId="2" applyFont="1" applyBorder="1" applyAlignment="1">
      <alignment horizontal="center" vertical="center"/>
    </xf>
    <xf numFmtId="0" fontId="23" fillId="0" borderId="39" xfId="2" applyFont="1" applyBorder="1" applyAlignment="1">
      <alignment horizontal="center" vertical="center"/>
    </xf>
    <xf numFmtId="0" fontId="23" fillId="0" borderId="38" xfId="2" applyFont="1" applyBorder="1" applyAlignment="1">
      <alignment horizontal="center" vertical="center"/>
    </xf>
    <xf numFmtId="0" fontId="22" fillId="0" borderId="37" xfId="2" applyFont="1" applyBorder="1" applyAlignment="1">
      <alignment horizontal="center" vertical="center"/>
    </xf>
    <xf numFmtId="0" fontId="22" fillId="0" borderId="46" xfId="2" applyFont="1" applyBorder="1" applyAlignment="1">
      <alignment horizontal="center" vertical="center"/>
    </xf>
    <xf numFmtId="0" fontId="12" fillId="0" borderId="37" xfId="2" applyFont="1" applyBorder="1" applyAlignment="1">
      <alignment horizontal="center" vertical="center" textRotation="255"/>
    </xf>
    <xf numFmtId="0" fontId="12" fillId="0" borderId="46" xfId="2" applyFont="1" applyBorder="1" applyAlignment="1">
      <alignment horizontal="center" vertical="center" textRotation="255"/>
    </xf>
    <xf numFmtId="0" fontId="12" fillId="0" borderId="37" xfId="2" applyFont="1" applyBorder="1" applyAlignment="1">
      <alignment horizontal="center" vertical="center"/>
    </xf>
    <xf numFmtId="0" fontId="32" fillId="0" borderId="42" xfId="2" applyFont="1" applyBorder="1" applyAlignment="1">
      <alignment horizontal="center" vertical="center" wrapText="1"/>
    </xf>
    <xf numFmtId="0" fontId="32" fillId="0" borderId="36" xfId="2" applyFont="1" applyBorder="1" applyAlignment="1">
      <alignment horizontal="center" vertical="center" wrapText="1"/>
    </xf>
    <xf numFmtId="0" fontId="32" fillId="0" borderId="41" xfId="2" applyFont="1" applyBorder="1" applyAlignment="1">
      <alignment horizontal="center" vertical="center" wrapText="1"/>
    </xf>
    <xf numFmtId="0" fontId="32" fillId="0" borderId="45" xfId="2" applyFont="1" applyBorder="1" applyAlignment="1">
      <alignment horizontal="center" vertical="center" wrapText="1"/>
    </xf>
    <xf numFmtId="0" fontId="32" fillId="0" borderId="0" xfId="2" applyFont="1" applyAlignment="1">
      <alignment horizontal="center" vertical="center" wrapText="1"/>
    </xf>
    <xf numFmtId="0" fontId="32" fillId="0" borderId="44" xfId="2" applyFont="1" applyBorder="1" applyAlignment="1">
      <alignment horizontal="center" vertical="center" wrapText="1"/>
    </xf>
    <xf numFmtId="0" fontId="32" fillId="0" borderId="48" xfId="2" applyFont="1" applyBorder="1" applyAlignment="1">
      <alignment horizontal="center" vertical="center" wrapText="1"/>
    </xf>
    <xf numFmtId="0" fontId="32" fillId="0" borderId="10" xfId="2" applyFont="1" applyBorder="1" applyAlignment="1">
      <alignment horizontal="center" vertical="center" wrapText="1"/>
    </xf>
    <xf numFmtId="0" fontId="32" fillId="0" borderId="47" xfId="2" applyFont="1" applyBorder="1" applyAlignment="1">
      <alignment horizontal="center" vertical="center" wrapText="1"/>
    </xf>
    <xf numFmtId="0" fontId="12" fillId="0" borderId="46" xfId="2" applyFont="1" applyBorder="1" applyAlignment="1">
      <alignment horizontal="center" vertical="center"/>
    </xf>
    <xf numFmtId="0" fontId="23" fillId="0" borderId="37" xfId="2" applyFont="1" applyBorder="1" applyAlignment="1">
      <alignment horizontal="center" vertical="center" textRotation="255"/>
    </xf>
    <xf numFmtId="0" fontId="19" fillId="0" borderId="37" xfId="2" applyFont="1" applyBorder="1" applyAlignment="1">
      <alignment horizontal="center" vertical="center"/>
    </xf>
    <xf numFmtId="49" fontId="23" fillId="0" borderId="37" xfId="2" applyNumberFormat="1" applyFont="1" applyBorder="1" applyAlignment="1">
      <alignment horizontal="center" vertical="center"/>
    </xf>
    <xf numFmtId="0" fontId="23" fillId="0" borderId="37" xfId="2" applyFont="1" applyBorder="1" applyAlignment="1">
      <alignment horizontal="center" vertical="center" shrinkToFit="1"/>
    </xf>
    <xf numFmtId="49" fontId="23" fillId="0" borderId="37" xfId="0" applyNumberFormat="1" applyFont="1" applyBorder="1" applyAlignment="1">
      <alignment horizontal="center" vertical="center"/>
    </xf>
    <xf numFmtId="0" fontId="23" fillId="0" borderId="37" xfId="0" applyFont="1" applyBorder="1" applyAlignment="1">
      <alignment horizontal="center" vertical="center" shrinkToFit="1"/>
    </xf>
    <xf numFmtId="0" fontId="23" fillId="0" borderId="37" xfId="0" applyFont="1" applyBorder="1" applyAlignment="1">
      <alignment horizontal="center" vertical="center"/>
    </xf>
    <xf numFmtId="0" fontId="22" fillId="0" borderId="37" xfId="0" applyFont="1" applyBorder="1" applyAlignment="1">
      <alignment horizontal="center" vertical="center"/>
    </xf>
    <xf numFmtId="0" fontId="23" fillId="0" borderId="42" xfId="0" applyFont="1" applyBorder="1" applyAlignment="1">
      <alignment horizontal="center" vertical="center"/>
    </xf>
    <xf numFmtId="0" fontId="23" fillId="0" borderId="36" xfId="0" applyFont="1" applyBorder="1" applyAlignment="1">
      <alignment horizontal="center" vertical="center"/>
    </xf>
    <xf numFmtId="0" fontId="23" fillId="0" borderId="41" xfId="0" applyFont="1" applyBorder="1" applyAlignment="1">
      <alignment horizontal="center" vertical="center"/>
    </xf>
    <xf numFmtId="0" fontId="23" fillId="0" borderId="40" xfId="0" applyFont="1" applyBorder="1" applyAlignment="1">
      <alignment horizontal="center" vertical="center"/>
    </xf>
    <xf numFmtId="0" fontId="23" fillId="0" borderId="39" xfId="0" applyFont="1" applyBorder="1" applyAlignment="1">
      <alignment horizontal="center" vertical="center"/>
    </xf>
    <xf numFmtId="0" fontId="23" fillId="0" borderId="38" xfId="0" applyFont="1" applyBorder="1" applyAlignment="1">
      <alignment horizontal="center" vertical="center"/>
    </xf>
    <xf numFmtId="0" fontId="29" fillId="0" borderId="42" xfId="0" applyFont="1" applyBorder="1" applyAlignment="1">
      <alignment horizontal="center" vertical="center"/>
    </xf>
    <xf numFmtId="0" fontId="29" fillId="0" borderId="36" xfId="0" applyFont="1" applyBorder="1" applyAlignment="1">
      <alignment horizontal="center" vertical="center"/>
    </xf>
    <xf numFmtId="0" fontId="29" fillId="0" borderId="41" xfId="0" applyFont="1" applyBorder="1" applyAlignment="1">
      <alignment horizontal="center" vertical="center"/>
    </xf>
    <xf numFmtId="0" fontId="29" fillId="0" borderId="40" xfId="0" applyFont="1" applyBorder="1" applyAlignment="1">
      <alignment horizontal="center" vertical="center"/>
    </xf>
    <xf numFmtId="0" fontId="29" fillId="0" borderId="39" xfId="0" applyFont="1" applyBorder="1" applyAlignment="1">
      <alignment horizontal="center" vertical="center"/>
    </xf>
    <xf numFmtId="0" fontId="29" fillId="0" borderId="38" xfId="0" applyFont="1" applyBorder="1" applyAlignment="1">
      <alignment horizontal="center" vertical="center"/>
    </xf>
    <xf numFmtId="49" fontId="23" fillId="0" borderId="42" xfId="0" applyNumberFormat="1" applyFont="1" applyBorder="1" applyAlignment="1">
      <alignment horizontal="center" vertical="center"/>
    </xf>
    <xf numFmtId="49" fontId="23" fillId="0" borderId="36" xfId="0" applyNumberFormat="1" applyFont="1" applyBorder="1" applyAlignment="1">
      <alignment horizontal="center" vertical="center"/>
    </xf>
    <xf numFmtId="49" fontId="23" fillId="0" borderId="41" xfId="0" applyNumberFormat="1" applyFont="1" applyBorder="1" applyAlignment="1">
      <alignment horizontal="center" vertical="center"/>
    </xf>
    <xf numFmtId="49" fontId="23" fillId="0" borderId="40" xfId="0" applyNumberFormat="1" applyFont="1" applyBorder="1" applyAlignment="1">
      <alignment horizontal="center" vertical="center"/>
    </xf>
    <xf numFmtId="49" fontId="23" fillId="0" borderId="39" xfId="0" applyNumberFormat="1" applyFont="1" applyBorder="1" applyAlignment="1">
      <alignment horizontal="center" vertical="center"/>
    </xf>
    <xf numFmtId="49" fontId="23" fillId="0" borderId="38" xfId="0" applyNumberFormat="1" applyFont="1" applyBorder="1" applyAlignment="1">
      <alignment horizontal="center" vertical="center"/>
    </xf>
    <xf numFmtId="0" fontId="23" fillId="0" borderId="42" xfId="0" applyFont="1" applyBorder="1" applyAlignment="1">
      <alignment horizontal="center" vertical="center" shrinkToFit="1"/>
    </xf>
    <xf numFmtId="0" fontId="23" fillId="0" borderId="36" xfId="0" applyFont="1" applyBorder="1" applyAlignment="1">
      <alignment horizontal="center" vertical="center" shrinkToFit="1"/>
    </xf>
    <xf numFmtId="0" fontId="23" fillId="0" borderId="41" xfId="0" applyFont="1" applyBorder="1" applyAlignment="1">
      <alignment horizontal="center" vertical="center" shrinkToFit="1"/>
    </xf>
    <xf numFmtId="0" fontId="23" fillId="0" borderId="40" xfId="0" applyFont="1" applyBorder="1" applyAlignment="1">
      <alignment horizontal="center" vertical="center" shrinkToFit="1"/>
    </xf>
    <xf numFmtId="0" fontId="23" fillId="0" borderId="39" xfId="0" applyFont="1" applyBorder="1" applyAlignment="1">
      <alignment horizontal="center" vertical="center" shrinkToFit="1"/>
    </xf>
    <xf numFmtId="0" fontId="23" fillId="0" borderId="38" xfId="0" applyFont="1" applyBorder="1" applyAlignment="1">
      <alignment horizontal="center" vertical="center" shrinkToFit="1"/>
    </xf>
    <xf numFmtId="49" fontId="15" fillId="0" borderId="42" xfId="0" applyNumberFormat="1" applyFont="1" applyBorder="1" applyAlignment="1">
      <alignment horizontal="center" vertical="center"/>
    </xf>
    <xf numFmtId="49" fontId="15" fillId="0" borderId="36" xfId="0" applyNumberFormat="1" applyFont="1" applyBorder="1" applyAlignment="1">
      <alignment horizontal="center" vertical="center"/>
    </xf>
    <xf numFmtId="49" fontId="15" fillId="0" borderId="41" xfId="0" applyNumberFormat="1" applyFont="1" applyBorder="1" applyAlignment="1">
      <alignment horizontal="center" vertical="center"/>
    </xf>
    <xf numFmtId="49" fontId="15" fillId="0" borderId="40" xfId="0" applyNumberFormat="1" applyFont="1" applyBorder="1" applyAlignment="1">
      <alignment horizontal="center" vertical="center"/>
    </xf>
    <xf numFmtId="49" fontId="15" fillId="0" borderId="39" xfId="0" applyNumberFormat="1" applyFont="1" applyBorder="1" applyAlignment="1">
      <alignment horizontal="center" vertical="center"/>
    </xf>
    <xf numFmtId="49" fontId="15" fillId="0" borderId="38" xfId="0" applyNumberFormat="1" applyFont="1" applyBorder="1" applyAlignment="1">
      <alignment horizontal="center" vertical="center"/>
    </xf>
    <xf numFmtId="49" fontId="23" fillId="0" borderId="42" xfId="0" quotePrefix="1" applyNumberFormat="1" applyFont="1" applyBorder="1" applyAlignment="1">
      <alignment horizontal="center" vertical="center"/>
    </xf>
    <xf numFmtId="0" fontId="22" fillId="0" borderId="42" xfId="0" applyFont="1" applyBorder="1" applyAlignment="1">
      <alignment horizontal="center" vertical="center"/>
    </xf>
    <xf numFmtId="0" fontId="22" fillId="0" borderId="36" xfId="0" applyFont="1" applyBorder="1" applyAlignment="1">
      <alignment horizontal="center" vertical="center"/>
    </xf>
    <xf numFmtId="0" fontId="22" fillId="0" borderId="41" xfId="0" applyFont="1" applyBorder="1" applyAlignment="1">
      <alignment horizontal="center" vertical="center"/>
    </xf>
    <xf numFmtId="0" fontId="22" fillId="0" borderId="40" xfId="0" applyFont="1" applyBorder="1" applyAlignment="1">
      <alignment horizontal="center" vertical="center"/>
    </xf>
    <xf numFmtId="0" fontId="22" fillId="0" borderId="39" xfId="0" applyFont="1" applyBorder="1" applyAlignment="1">
      <alignment horizontal="center" vertical="center"/>
    </xf>
    <xf numFmtId="0" fontId="22" fillId="0" borderId="38" xfId="0" applyFont="1" applyBorder="1" applyAlignment="1">
      <alignment horizontal="center" vertical="center"/>
    </xf>
    <xf numFmtId="0" fontId="22" fillId="0" borderId="42" xfId="2" applyFont="1" applyBorder="1" applyAlignment="1">
      <alignment horizontal="center" vertical="center"/>
    </xf>
    <xf numFmtId="0" fontId="22" fillId="0" borderId="36" xfId="2" applyFont="1" applyBorder="1" applyAlignment="1">
      <alignment horizontal="center" vertical="center"/>
    </xf>
    <xf numFmtId="0" fontId="22" fillId="0" borderId="41" xfId="2" applyFont="1" applyBorder="1" applyAlignment="1">
      <alignment horizontal="center" vertical="center"/>
    </xf>
    <xf numFmtId="0" fontId="22" fillId="0" borderId="40" xfId="2" applyFont="1" applyBorder="1" applyAlignment="1">
      <alignment horizontal="center" vertical="center"/>
    </xf>
    <xf numFmtId="0" fontId="22" fillId="0" borderId="39" xfId="2" applyFont="1" applyBorder="1" applyAlignment="1">
      <alignment horizontal="center" vertical="center"/>
    </xf>
    <xf numFmtId="0" fontId="22" fillId="0" borderId="38" xfId="2" applyFont="1" applyBorder="1" applyAlignment="1">
      <alignment horizontal="center" vertical="center"/>
    </xf>
    <xf numFmtId="0" fontId="23" fillId="0" borderId="54" xfId="0" applyFont="1" applyBorder="1" applyAlignment="1">
      <alignment horizontal="center" vertical="center" shrinkToFit="1"/>
    </xf>
    <xf numFmtId="0" fontId="23" fillId="0" borderId="42" xfId="2" applyFont="1" applyBorder="1" applyAlignment="1">
      <alignment horizontal="center" vertical="center" shrinkToFit="1"/>
    </xf>
    <xf numFmtId="0" fontId="23" fillId="0" borderId="36" xfId="2" applyFont="1" applyBorder="1" applyAlignment="1">
      <alignment horizontal="center" vertical="center" shrinkToFit="1"/>
    </xf>
    <xf numFmtId="0" fontId="23" fillId="0" borderId="41" xfId="2" applyFont="1" applyBorder="1" applyAlignment="1">
      <alignment horizontal="center" vertical="center" shrinkToFit="1"/>
    </xf>
    <xf numFmtId="0" fontId="23" fillId="0" borderId="40" xfId="2" applyFont="1" applyBorder="1" applyAlignment="1">
      <alignment horizontal="center" vertical="center" shrinkToFit="1"/>
    </xf>
    <xf numFmtId="0" fontId="23" fillId="0" borderId="39" xfId="2" applyFont="1" applyBorder="1" applyAlignment="1">
      <alignment horizontal="center" vertical="center" shrinkToFit="1"/>
    </xf>
    <xf numFmtId="0" fontId="23" fillId="0" borderId="38" xfId="2" applyFont="1" applyBorder="1" applyAlignment="1">
      <alignment horizontal="center" vertical="center" shrinkToFit="1"/>
    </xf>
    <xf numFmtId="49" fontId="23" fillId="0" borderId="42" xfId="2" quotePrefix="1" applyNumberFormat="1" applyFont="1" applyBorder="1" applyAlignment="1">
      <alignment horizontal="center" vertical="center"/>
    </xf>
    <xf numFmtId="49" fontId="23" fillId="0" borderId="36" xfId="2" quotePrefix="1" applyNumberFormat="1" applyFont="1" applyBorder="1" applyAlignment="1">
      <alignment horizontal="center" vertical="center"/>
    </xf>
    <xf numFmtId="49" fontId="23" fillId="0" borderId="41" xfId="2" quotePrefix="1" applyNumberFormat="1" applyFont="1" applyBorder="1" applyAlignment="1">
      <alignment horizontal="center" vertical="center"/>
    </xf>
    <xf numFmtId="49" fontId="23" fillId="0" borderId="40" xfId="2" quotePrefix="1" applyNumberFormat="1" applyFont="1" applyBorder="1" applyAlignment="1">
      <alignment horizontal="center" vertical="center"/>
    </xf>
    <xf numFmtId="49" fontId="23" fillId="0" borderId="39" xfId="2" quotePrefix="1" applyNumberFormat="1" applyFont="1" applyBorder="1" applyAlignment="1">
      <alignment horizontal="center" vertical="center"/>
    </xf>
    <xf numFmtId="49" fontId="23" fillId="0" borderId="38" xfId="2" quotePrefix="1" applyNumberFormat="1" applyFont="1" applyBorder="1" applyAlignment="1">
      <alignment horizontal="center" vertical="center"/>
    </xf>
    <xf numFmtId="49" fontId="23" fillId="0" borderId="57" xfId="2" applyNumberFormat="1" applyFont="1" applyBorder="1" applyAlignment="1">
      <alignment horizontal="center" vertical="center"/>
    </xf>
    <xf numFmtId="49" fontId="23" fillId="0" borderId="37" xfId="2" quotePrefix="1" applyNumberFormat="1" applyFont="1" applyBorder="1" applyAlignment="1">
      <alignment horizontal="center" vertical="center"/>
    </xf>
    <xf numFmtId="0" fontId="32" fillId="0" borderId="36" xfId="2" applyFont="1" applyBorder="1" applyAlignment="1">
      <alignment horizontal="center" vertical="center"/>
    </xf>
    <xf numFmtId="0" fontId="32" fillId="0" borderId="0" xfId="2" applyFont="1" applyAlignment="1">
      <alignment horizontal="center" vertical="center"/>
    </xf>
    <xf numFmtId="178" fontId="22" fillId="0" borderId="10" xfId="2" applyNumberFormat="1" applyFont="1" applyBorder="1" applyAlignment="1">
      <alignment horizontal="right" vertical="center"/>
    </xf>
    <xf numFmtId="176" fontId="23" fillId="0" borderId="37" xfId="2" applyNumberFormat="1" applyFont="1" applyBorder="1" applyAlignment="1">
      <alignment horizontal="center" vertical="center"/>
    </xf>
    <xf numFmtId="0" fontId="23" fillId="0" borderId="57" xfId="2" applyFont="1" applyBorder="1" applyAlignment="1">
      <alignment horizontal="center" vertical="center"/>
    </xf>
    <xf numFmtId="0" fontId="21" fillId="0" borderId="63" xfId="2" applyFont="1" applyBorder="1" applyAlignment="1">
      <alignment horizontal="center" vertical="center"/>
    </xf>
    <xf numFmtId="0" fontId="21" fillId="0" borderId="62" xfId="2" applyFont="1" applyBorder="1" applyAlignment="1">
      <alignment horizontal="center" vertical="center"/>
    </xf>
    <xf numFmtId="0" fontId="21" fillId="0" borderId="61" xfId="2" applyFont="1" applyBorder="1" applyAlignment="1">
      <alignment horizontal="center" vertical="center"/>
    </xf>
    <xf numFmtId="0" fontId="21" fillId="0" borderId="60" xfId="2" applyFont="1" applyBorder="1" applyAlignment="1">
      <alignment horizontal="center" vertical="center"/>
    </xf>
    <xf numFmtId="0" fontId="21" fillId="0" borderId="59" xfId="2" applyFont="1" applyBorder="1" applyAlignment="1">
      <alignment horizontal="center" vertical="center"/>
    </xf>
    <xf numFmtId="0" fontId="21" fillId="0" borderId="58" xfId="2" applyFont="1" applyBorder="1" applyAlignment="1">
      <alignment horizontal="center" vertical="center"/>
    </xf>
    <xf numFmtId="0" fontId="23" fillId="0" borderId="54" xfId="2" applyFont="1" applyBorder="1" applyAlignment="1">
      <alignment horizontal="center" vertical="center"/>
    </xf>
    <xf numFmtId="49" fontId="23" fillId="0" borderId="37" xfId="0" quotePrefix="1" applyNumberFormat="1" applyFont="1" applyBorder="1" applyAlignment="1">
      <alignment horizontal="center" vertical="center"/>
    </xf>
    <xf numFmtId="49" fontId="34" fillId="0" borderId="37" xfId="0" applyNumberFormat="1" applyFont="1" applyBorder="1" applyAlignment="1">
      <alignment horizontal="center" vertical="center"/>
    </xf>
    <xf numFmtId="0" fontId="15" fillId="0" borderId="37" xfId="0" applyFont="1" applyBorder="1" applyAlignment="1">
      <alignment horizontal="center" vertical="center" shrinkToFit="1"/>
    </xf>
    <xf numFmtId="0" fontId="34" fillId="0" borderId="37" xfId="0" applyFont="1" applyBorder="1" applyAlignment="1">
      <alignment horizontal="center" vertical="center"/>
    </xf>
    <xf numFmtId="0" fontId="34" fillId="0" borderId="42" xfId="0" applyFont="1" applyBorder="1" applyAlignment="1">
      <alignment horizontal="center" vertical="center"/>
    </xf>
    <xf numFmtId="0" fontId="34" fillId="0" borderId="36" xfId="0" applyFont="1" applyBorder="1" applyAlignment="1">
      <alignment horizontal="center" vertical="center"/>
    </xf>
    <xf numFmtId="0" fontId="34" fillId="0" borderId="41" xfId="0" applyFont="1" applyBorder="1" applyAlignment="1">
      <alignment horizontal="center" vertical="center"/>
    </xf>
    <xf numFmtId="0" fontId="34" fillId="0" borderId="40" xfId="0" applyFont="1" applyBorder="1" applyAlignment="1">
      <alignment horizontal="center" vertical="center"/>
    </xf>
    <xf numFmtId="0" fontId="34" fillId="0" borderId="39" xfId="0" applyFont="1" applyBorder="1" applyAlignment="1">
      <alignment horizontal="center" vertical="center"/>
    </xf>
    <xf numFmtId="0" fontId="34" fillId="0" borderId="38" xfId="0" applyFont="1" applyBorder="1" applyAlignment="1">
      <alignment horizontal="center" vertical="center"/>
    </xf>
    <xf numFmtId="49" fontId="15" fillId="0" borderId="37" xfId="0" applyNumberFormat="1" applyFont="1" applyBorder="1" applyAlignment="1">
      <alignment horizontal="center" vertical="center"/>
    </xf>
    <xf numFmtId="0" fontId="29" fillId="0" borderId="42" xfId="2" applyFont="1" applyBorder="1" applyAlignment="1">
      <alignment horizontal="center" vertical="center"/>
    </xf>
    <xf numFmtId="0" fontId="29" fillId="0" borderId="36" xfId="2" applyFont="1" applyBorder="1" applyAlignment="1">
      <alignment horizontal="center" vertical="center"/>
    </xf>
    <xf numFmtId="0" fontId="29" fillId="0" borderId="41" xfId="2" applyFont="1" applyBorder="1" applyAlignment="1">
      <alignment horizontal="center" vertical="center"/>
    </xf>
    <xf numFmtId="0" fontId="29" fillId="0" borderId="40" xfId="2" applyFont="1" applyBorder="1" applyAlignment="1">
      <alignment horizontal="center" vertical="center"/>
    </xf>
    <xf numFmtId="0" fontId="29" fillId="0" borderId="39" xfId="2" applyFont="1" applyBorder="1" applyAlignment="1">
      <alignment horizontal="center" vertical="center"/>
    </xf>
    <xf numFmtId="0" fontId="29" fillId="0" borderId="38" xfId="2" applyFont="1" applyBorder="1" applyAlignment="1">
      <alignment horizontal="center" vertical="center"/>
    </xf>
    <xf numFmtId="0" fontId="22" fillId="0" borderId="10" xfId="2" applyFont="1" applyBorder="1" applyAlignment="1">
      <alignment horizontal="center" vertical="center" shrinkToFit="1"/>
    </xf>
    <xf numFmtId="0" fontId="23" fillId="0" borderId="45" xfId="0" applyFont="1" applyBorder="1" applyAlignment="1">
      <alignment horizontal="center" vertical="center" shrinkToFit="1"/>
    </xf>
    <xf numFmtId="0" fontId="23" fillId="0" borderId="0" xfId="0" applyFont="1" applyAlignment="1">
      <alignment horizontal="center" vertical="center" shrinkToFit="1"/>
    </xf>
    <xf numFmtId="0" fontId="23" fillId="0" borderId="44" xfId="0" applyFont="1" applyBorder="1" applyAlignment="1">
      <alignment horizontal="center" vertical="center" shrinkToFit="1"/>
    </xf>
    <xf numFmtId="49" fontId="29" fillId="0" borderId="37" xfId="0" applyNumberFormat="1" applyFont="1" applyBorder="1" applyAlignment="1">
      <alignment horizontal="center" vertical="center"/>
    </xf>
    <xf numFmtId="0" fontId="23" fillId="3" borderId="37" xfId="0" applyFont="1" applyFill="1" applyBorder="1" applyAlignment="1">
      <alignment horizontal="center" vertical="center" shrinkToFit="1"/>
    </xf>
    <xf numFmtId="0" fontId="15" fillId="3" borderId="42" xfId="0" applyFont="1" applyFill="1" applyBorder="1" applyAlignment="1">
      <alignment horizontal="center" vertical="center" shrinkToFit="1"/>
    </xf>
    <xf numFmtId="0" fontId="23" fillId="3" borderId="36" xfId="0" applyFont="1" applyFill="1" applyBorder="1" applyAlignment="1">
      <alignment horizontal="center" vertical="center" shrinkToFit="1"/>
    </xf>
    <xf numFmtId="0" fontId="23" fillId="3" borderId="41" xfId="0" applyFont="1" applyFill="1" applyBorder="1" applyAlignment="1">
      <alignment horizontal="center" vertical="center" shrinkToFit="1"/>
    </xf>
    <xf numFmtId="0" fontId="23" fillId="3" borderId="40" xfId="0" applyFont="1" applyFill="1" applyBorder="1" applyAlignment="1">
      <alignment horizontal="center" vertical="center" shrinkToFit="1"/>
    </xf>
    <xf numFmtId="0" fontId="23" fillId="3" borderId="39" xfId="0" applyFont="1" applyFill="1" applyBorder="1" applyAlignment="1">
      <alignment horizontal="center" vertical="center" shrinkToFit="1"/>
    </xf>
    <xf numFmtId="0" fontId="23" fillId="3" borderId="38" xfId="0" applyFont="1" applyFill="1" applyBorder="1" applyAlignment="1">
      <alignment horizontal="center" vertical="center" shrinkToFit="1"/>
    </xf>
    <xf numFmtId="0" fontId="15" fillId="3" borderId="36" xfId="0" applyFont="1" applyFill="1" applyBorder="1" applyAlignment="1">
      <alignment horizontal="center" vertical="center" shrinkToFit="1"/>
    </xf>
    <xf numFmtId="0" fontId="15" fillId="3" borderId="41" xfId="0" applyFont="1" applyFill="1" applyBorder="1" applyAlignment="1">
      <alignment horizontal="center" vertical="center" shrinkToFit="1"/>
    </xf>
    <xf numFmtId="0" fontId="15" fillId="3" borderId="40" xfId="0" applyFont="1" applyFill="1" applyBorder="1" applyAlignment="1">
      <alignment horizontal="center" vertical="center" shrinkToFit="1"/>
    </xf>
    <xf numFmtId="0" fontId="15" fillId="3" borderId="39" xfId="0" applyFont="1" applyFill="1" applyBorder="1" applyAlignment="1">
      <alignment horizontal="center" vertical="center" shrinkToFit="1"/>
    </xf>
    <xf numFmtId="0" fontId="15" fillId="3" borderId="38" xfId="0" applyFont="1" applyFill="1" applyBorder="1" applyAlignment="1">
      <alignment horizontal="center" vertical="center" shrinkToFit="1"/>
    </xf>
    <xf numFmtId="49" fontId="23" fillId="0" borderId="37" xfId="0" applyNumberFormat="1" applyFont="1" applyBorder="1" applyAlignment="1">
      <alignment horizontal="center" vertical="center" shrinkToFit="1"/>
    </xf>
    <xf numFmtId="0" fontId="29" fillId="3" borderId="37" xfId="0" applyFont="1" applyFill="1" applyBorder="1" applyAlignment="1">
      <alignment horizontal="center" vertical="center" shrinkToFit="1"/>
    </xf>
    <xf numFmtId="0" fontId="22" fillId="0" borderId="10" xfId="2" applyFont="1" applyBorder="1" applyAlignment="1">
      <alignment horizontal="left" vertical="center"/>
    </xf>
    <xf numFmtId="49" fontId="23" fillId="0" borderId="0" xfId="2" applyNumberFormat="1" applyFont="1" applyAlignment="1">
      <alignment horizontal="center" vertical="center"/>
    </xf>
    <xf numFmtId="49" fontId="15" fillId="0" borderId="37" xfId="0" applyNumberFormat="1" applyFont="1" applyBorder="1" applyAlignment="1">
      <alignment horizontal="center" vertical="center" shrinkToFit="1"/>
    </xf>
    <xf numFmtId="0" fontId="15" fillId="0" borderId="42" xfId="0" applyFont="1" applyBorder="1" applyAlignment="1">
      <alignment horizontal="center" vertical="center" wrapText="1" shrinkToFit="1"/>
    </xf>
    <xf numFmtId="0" fontId="15" fillId="0" borderId="36" xfId="0" applyFont="1" applyBorder="1" applyAlignment="1">
      <alignment horizontal="center" vertical="center" shrinkToFit="1"/>
    </xf>
    <xf numFmtId="0" fontId="15" fillId="0" borderId="41" xfId="0" applyFont="1" applyBorder="1" applyAlignment="1">
      <alignment horizontal="center" vertical="center" shrinkToFit="1"/>
    </xf>
    <xf numFmtId="0" fontId="15" fillId="0" borderId="40" xfId="0" applyFont="1" applyBorder="1" applyAlignment="1">
      <alignment horizontal="center" vertical="center" shrinkToFit="1"/>
    </xf>
    <xf numFmtId="0" fontId="15" fillId="0" borderId="39" xfId="0" applyFont="1" applyBorder="1" applyAlignment="1">
      <alignment horizontal="center" vertical="center" shrinkToFit="1"/>
    </xf>
    <xf numFmtId="0" fontId="15" fillId="0" borderId="38" xfId="0" applyFont="1" applyBorder="1" applyAlignment="1">
      <alignment horizontal="center" vertical="center" shrinkToFit="1"/>
    </xf>
    <xf numFmtId="49" fontId="23" fillId="0" borderId="37" xfId="0" quotePrefix="1" applyNumberFormat="1" applyFont="1" applyBorder="1" applyAlignment="1">
      <alignment horizontal="center" vertical="center" shrinkToFit="1"/>
    </xf>
    <xf numFmtId="49" fontId="15" fillId="0" borderId="37" xfId="0" quotePrefix="1" applyNumberFormat="1" applyFont="1" applyBorder="1" applyAlignment="1">
      <alignment horizontal="center" vertical="center" shrinkToFit="1"/>
    </xf>
    <xf numFmtId="0" fontId="29" fillId="0" borderId="37" xfId="0" applyFont="1" applyBorder="1" applyAlignment="1">
      <alignment horizontal="center" vertical="center" shrinkToFit="1"/>
    </xf>
    <xf numFmtId="49" fontId="23" fillId="0" borderId="42" xfId="0" applyNumberFormat="1" applyFont="1" applyBorder="1" applyAlignment="1">
      <alignment horizontal="center" vertical="center" shrinkToFit="1"/>
    </xf>
    <xf numFmtId="49" fontId="23" fillId="0" borderId="36" xfId="0" applyNumberFormat="1" applyFont="1" applyBorder="1" applyAlignment="1">
      <alignment horizontal="center" vertical="center" shrinkToFit="1"/>
    </xf>
    <xf numFmtId="49" fontId="23" fillId="0" borderId="41" xfId="0" applyNumberFormat="1" applyFont="1" applyBorder="1" applyAlignment="1">
      <alignment horizontal="center" vertical="center" shrinkToFit="1"/>
    </xf>
    <xf numFmtId="49" fontId="23" fillId="0" borderId="40" xfId="0" applyNumberFormat="1" applyFont="1" applyBorder="1" applyAlignment="1">
      <alignment horizontal="center" vertical="center" shrinkToFit="1"/>
    </xf>
    <xf numFmtId="49" fontId="23" fillId="0" borderId="39" xfId="0" applyNumberFormat="1" applyFont="1" applyBorder="1" applyAlignment="1">
      <alignment horizontal="center" vertical="center" shrinkToFit="1"/>
    </xf>
    <xf numFmtId="49" fontId="23" fillId="0" borderId="38" xfId="0" applyNumberFormat="1" applyFont="1" applyBorder="1" applyAlignment="1">
      <alignment horizontal="center" vertical="center" shrinkToFit="1"/>
    </xf>
    <xf numFmtId="49" fontId="29" fillId="0" borderId="42" xfId="0" applyNumberFormat="1" applyFont="1" applyBorder="1" applyAlignment="1">
      <alignment horizontal="center" vertical="center" shrinkToFit="1"/>
    </xf>
    <xf numFmtId="49" fontId="29" fillId="0" borderId="36" xfId="0" applyNumberFormat="1" applyFont="1" applyBorder="1" applyAlignment="1">
      <alignment horizontal="center" vertical="center" shrinkToFit="1"/>
    </xf>
    <xf numFmtId="49" fontId="29" fillId="0" borderId="41" xfId="0" applyNumberFormat="1" applyFont="1" applyBorder="1" applyAlignment="1">
      <alignment horizontal="center" vertical="center" shrinkToFit="1"/>
    </xf>
    <xf numFmtId="49" fontId="29" fillId="0" borderId="40" xfId="0" applyNumberFormat="1" applyFont="1" applyBorder="1" applyAlignment="1">
      <alignment horizontal="center" vertical="center" shrinkToFit="1"/>
    </xf>
    <xf numFmtId="49" fontId="29" fillId="0" borderId="39" xfId="0" applyNumberFormat="1" applyFont="1" applyBorder="1" applyAlignment="1">
      <alignment horizontal="center" vertical="center" shrinkToFit="1"/>
    </xf>
    <xf numFmtId="49" fontId="29" fillId="0" borderId="38" xfId="0" applyNumberFormat="1" applyFont="1" applyBorder="1" applyAlignment="1">
      <alignment horizontal="center" vertical="center" shrinkToFit="1"/>
    </xf>
    <xf numFmtId="0" fontId="29" fillId="0" borderId="42" xfId="0" applyFont="1" applyBorder="1" applyAlignment="1">
      <alignment horizontal="center" vertical="center" shrinkToFit="1"/>
    </xf>
    <xf numFmtId="0" fontId="29" fillId="0" borderId="36"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40"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38" xfId="0" applyFont="1" applyBorder="1" applyAlignment="1">
      <alignment horizontal="center" vertical="center" shrinkToFit="1"/>
    </xf>
    <xf numFmtId="0" fontId="22" fillId="0" borderId="10" xfId="2" applyFont="1" applyBorder="1" applyAlignment="1">
      <alignment horizontal="left" vertical="center" shrinkToFit="1"/>
    </xf>
    <xf numFmtId="0" fontId="23" fillId="0" borderId="10" xfId="2" applyFont="1" applyBorder="1" applyAlignment="1">
      <alignment vertical="center" shrinkToFit="1"/>
    </xf>
    <xf numFmtId="0" fontId="23" fillId="0" borderId="37" xfId="2" applyFont="1" applyBorder="1" applyAlignment="1">
      <alignment horizontal="center" vertical="center" wrapText="1"/>
    </xf>
    <xf numFmtId="0" fontId="23" fillId="0" borderId="42" xfId="2" applyFont="1" applyBorder="1" applyAlignment="1" applyProtection="1">
      <alignment horizontal="center" vertical="center"/>
      <protection locked="0"/>
    </xf>
    <xf numFmtId="0" fontId="23" fillId="0" borderId="41" xfId="2" applyFont="1" applyBorder="1" applyAlignment="1" applyProtection="1">
      <alignment horizontal="center" vertical="center"/>
      <protection locked="0"/>
    </xf>
    <xf numFmtId="0" fontId="23" fillId="0" borderId="40" xfId="2" applyFont="1" applyBorder="1" applyAlignment="1" applyProtection="1">
      <alignment horizontal="center" vertical="center"/>
      <protection locked="0"/>
    </xf>
    <xf numFmtId="0" fontId="23" fillId="0" borderId="38" xfId="2" applyFont="1" applyBorder="1" applyAlignment="1" applyProtection="1">
      <alignment horizontal="center" vertical="center"/>
      <protection locked="0"/>
    </xf>
    <xf numFmtId="0" fontId="23" fillId="0" borderId="36" xfId="2" applyFont="1" applyBorder="1" applyAlignment="1" applyProtection="1">
      <alignment horizontal="center" vertical="center"/>
      <protection locked="0"/>
    </xf>
    <xf numFmtId="0" fontId="23" fillId="0" borderId="39" xfId="2" applyFont="1" applyBorder="1" applyAlignment="1" applyProtection="1">
      <alignment horizontal="center" vertical="center"/>
      <protection locked="0"/>
    </xf>
    <xf numFmtId="0" fontId="23" fillId="0" borderId="37" xfId="2" applyFont="1" applyBorder="1" applyAlignment="1" applyProtection="1">
      <alignment horizontal="center" vertical="center"/>
      <protection locked="0"/>
    </xf>
    <xf numFmtId="0" fontId="21" fillId="0" borderId="42" xfId="2" applyFont="1" applyBorder="1" applyAlignment="1" applyProtection="1">
      <alignment horizontal="center" vertical="center" wrapText="1"/>
      <protection locked="0"/>
    </xf>
    <xf numFmtId="0" fontId="21" fillId="0" borderId="36" xfId="2" applyFont="1" applyBorder="1" applyAlignment="1" applyProtection="1">
      <alignment horizontal="center" vertical="center" wrapText="1"/>
      <protection locked="0"/>
    </xf>
    <xf numFmtId="0" fontId="21" fillId="0" borderId="41" xfId="2" applyFont="1" applyBorder="1" applyAlignment="1" applyProtection="1">
      <alignment horizontal="center" vertical="center" wrapText="1"/>
      <protection locked="0"/>
    </xf>
    <xf numFmtId="0" fontId="21" fillId="0" borderId="40" xfId="2" applyFont="1" applyBorder="1" applyAlignment="1" applyProtection="1">
      <alignment horizontal="center" vertical="center"/>
      <protection locked="0"/>
    </xf>
    <xf numFmtId="0" fontId="21" fillId="0" borderId="39" xfId="2" applyFont="1" applyBorder="1" applyAlignment="1" applyProtection="1">
      <alignment horizontal="center" vertical="center"/>
      <protection locked="0"/>
    </xf>
    <xf numFmtId="0" fontId="21" fillId="0" borderId="38" xfId="2" applyFont="1" applyBorder="1" applyAlignment="1" applyProtection="1">
      <alignment horizontal="center" vertical="center"/>
      <protection locked="0"/>
    </xf>
    <xf numFmtId="49" fontId="11" fillId="0" borderId="37" xfId="0" applyNumberFormat="1" applyFont="1" applyBorder="1" applyAlignment="1">
      <alignment horizontal="center" vertical="center" shrinkToFit="1"/>
    </xf>
    <xf numFmtId="0" fontId="12" fillId="0" borderId="37" xfId="0" applyFont="1" applyBorder="1" applyAlignment="1">
      <alignment horizontal="left" vertical="center" shrinkToFit="1"/>
    </xf>
    <xf numFmtId="0" fontId="22" fillId="0" borderId="42" xfId="2" applyFont="1" applyBorder="1" applyAlignment="1" applyProtection="1">
      <alignment horizontal="center" vertical="center"/>
      <protection locked="0"/>
    </xf>
    <xf numFmtId="0" fontId="22" fillId="0" borderId="36" xfId="2" applyFont="1" applyBorder="1" applyAlignment="1" applyProtection="1">
      <alignment horizontal="center" vertical="center"/>
      <protection locked="0"/>
    </xf>
    <xf numFmtId="0" fontId="22" fillId="0" borderId="41" xfId="2" applyFont="1" applyBorder="1" applyAlignment="1" applyProtection="1">
      <alignment horizontal="center" vertical="center"/>
      <protection locked="0"/>
    </xf>
    <xf numFmtId="0" fontId="22" fillId="0" borderId="40" xfId="2" applyFont="1" applyBorder="1" applyAlignment="1" applyProtection="1">
      <alignment horizontal="center" vertical="center"/>
      <protection locked="0"/>
    </xf>
    <xf numFmtId="0" fontId="22" fillId="0" borderId="39" xfId="2" applyFont="1" applyBorder="1" applyAlignment="1" applyProtection="1">
      <alignment horizontal="center" vertical="center"/>
      <protection locked="0"/>
    </xf>
    <xf numFmtId="0" fontId="22" fillId="0" borderId="38" xfId="2" applyFont="1" applyBorder="1" applyAlignment="1" applyProtection="1">
      <alignment horizontal="center" vertical="center"/>
      <protection locked="0"/>
    </xf>
    <xf numFmtId="14" fontId="23" fillId="0" borderId="42" xfId="2" applyNumberFormat="1" applyFont="1" applyBorder="1" applyAlignment="1">
      <alignment horizontal="center" vertical="center"/>
    </xf>
    <xf numFmtId="14" fontId="23" fillId="0" borderId="36" xfId="2" applyNumberFormat="1" applyFont="1" applyBorder="1" applyAlignment="1">
      <alignment horizontal="center" vertical="center"/>
    </xf>
    <xf numFmtId="14" fontId="23" fillId="0" borderId="41" xfId="2" applyNumberFormat="1" applyFont="1" applyBorder="1" applyAlignment="1">
      <alignment horizontal="center" vertical="center"/>
    </xf>
    <xf numFmtId="14" fontId="23" fillId="0" borderId="45" xfId="2" applyNumberFormat="1" applyFont="1" applyBorder="1" applyAlignment="1">
      <alignment horizontal="center" vertical="center"/>
    </xf>
    <xf numFmtId="14" fontId="23" fillId="0" borderId="0" xfId="2" applyNumberFormat="1" applyFont="1" applyBorder="1" applyAlignment="1">
      <alignment horizontal="center" vertical="center"/>
    </xf>
    <xf numFmtId="14" fontId="23" fillId="0" borderId="44" xfId="2" applyNumberFormat="1" applyFont="1" applyBorder="1" applyAlignment="1">
      <alignment horizontal="center" vertical="center"/>
    </xf>
    <xf numFmtId="14" fontId="23" fillId="0" borderId="40" xfId="2" applyNumberFormat="1" applyFont="1" applyBorder="1" applyAlignment="1">
      <alignment horizontal="center" vertical="center"/>
    </xf>
    <xf numFmtId="14" fontId="23" fillId="0" borderId="39" xfId="2" applyNumberFormat="1" applyFont="1" applyBorder="1" applyAlignment="1">
      <alignment horizontal="center" vertical="center"/>
    </xf>
    <xf numFmtId="14" fontId="23" fillId="0" borderId="38" xfId="2" applyNumberFormat="1" applyFont="1" applyBorder="1" applyAlignment="1">
      <alignment horizontal="center" vertical="center"/>
    </xf>
    <xf numFmtId="0" fontId="19" fillId="0" borderId="37" xfId="2" applyFont="1" applyBorder="1" applyAlignment="1" applyProtection="1">
      <alignment horizontal="center" vertical="center"/>
      <protection locked="0"/>
    </xf>
    <xf numFmtId="0" fontId="23" fillId="0" borderId="45" xfId="2" applyFont="1" applyBorder="1" applyAlignment="1" applyProtection="1">
      <alignment horizontal="center" vertical="center"/>
      <protection locked="0"/>
    </xf>
    <xf numFmtId="0" fontId="23" fillId="0" borderId="0" xfId="2" applyFont="1" applyAlignment="1" applyProtection="1">
      <alignment horizontal="center" vertical="center"/>
      <protection locked="0"/>
    </xf>
    <xf numFmtId="0" fontId="23" fillId="0" borderId="44" xfId="2" applyFont="1" applyBorder="1" applyAlignment="1" applyProtection="1">
      <alignment horizontal="center" vertical="center"/>
      <protection locked="0"/>
    </xf>
    <xf numFmtId="0" fontId="12" fillId="0" borderId="42" xfId="2" applyFont="1" applyBorder="1" applyAlignment="1" applyProtection="1">
      <alignment horizontal="center" vertical="center"/>
      <protection locked="0"/>
    </xf>
    <xf numFmtId="0" fontId="12" fillId="0" borderId="36" xfId="2" applyFont="1" applyBorder="1" applyAlignment="1" applyProtection="1">
      <alignment horizontal="center" vertical="center"/>
      <protection locked="0"/>
    </xf>
    <xf numFmtId="0" fontId="12" fillId="0" borderId="41" xfId="2" applyFont="1" applyBorder="1" applyAlignment="1" applyProtection="1">
      <alignment horizontal="center" vertical="center"/>
      <protection locked="0"/>
    </xf>
    <xf numFmtId="0" fontId="12" fillId="0" borderId="48" xfId="2" applyFont="1" applyBorder="1" applyAlignment="1" applyProtection="1">
      <alignment horizontal="center" vertical="center"/>
      <protection locked="0"/>
    </xf>
    <xf numFmtId="0" fontId="12" fillId="0" borderId="10" xfId="2" applyFont="1" applyBorder="1" applyAlignment="1" applyProtection="1">
      <alignment horizontal="center" vertical="center"/>
      <protection locked="0"/>
    </xf>
    <xf numFmtId="0" fontId="12" fillId="0" borderId="47" xfId="2" applyFont="1" applyBorder="1" applyAlignment="1" applyProtection="1">
      <alignment horizontal="center" vertical="center"/>
      <protection locked="0"/>
    </xf>
    <xf numFmtId="0" fontId="32" fillId="0" borderId="50" xfId="0" applyFont="1" applyBorder="1" applyAlignment="1">
      <alignment horizontal="center" vertical="center" shrinkToFit="1"/>
    </xf>
    <xf numFmtId="0" fontId="32" fillId="0" borderId="37" xfId="0" applyFont="1" applyBorder="1" applyAlignment="1">
      <alignment horizontal="center" vertical="center" shrinkToFit="1"/>
    </xf>
    <xf numFmtId="176" fontId="23" fillId="0" borderId="42" xfId="2" applyNumberFormat="1" applyFont="1" applyBorder="1" applyAlignment="1">
      <alignment horizontal="center" vertical="center"/>
    </xf>
    <xf numFmtId="176" fontId="23" fillId="0" borderId="36" xfId="2" applyNumberFormat="1" applyFont="1" applyBorder="1" applyAlignment="1">
      <alignment horizontal="center" vertical="center"/>
    </xf>
    <xf numFmtId="176" fontId="23" fillId="0" borderId="40" xfId="2" applyNumberFormat="1" applyFont="1" applyBorder="1" applyAlignment="1">
      <alignment horizontal="center" vertical="center"/>
    </xf>
    <xf numFmtId="176" fontId="23" fillId="0" borderId="39" xfId="2" applyNumberFormat="1" applyFont="1" applyBorder="1" applyAlignment="1">
      <alignment horizontal="center" vertical="center"/>
    </xf>
    <xf numFmtId="0" fontId="12" fillId="0" borderId="40" xfId="2" applyFont="1" applyBorder="1" applyAlignment="1" applyProtection="1">
      <alignment horizontal="center" vertical="center"/>
      <protection locked="0"/>
    </xf>
    <xf numFmtId="0" fontId="12" fillId="0" borderId="39"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23" fillId="0" borderId="50" xfId="2" applyFont="1" applyBorder="1" applyAlignment="1" applyProtection="1">
      <alignment horizontal="center" vertical="center"/>
      <protection locked="0"/>
    </xf>
    <xf numFmtId="0" fontId="21" fillId="0" borderId="37" xfId="2" applyFont="1" applyBorder="1" applyAlignment="1" applyProtection="1">
      <alignment horizontal="center" vertical="center" wrapText="1"/>
      <protection locked="0"/>
    </xf>
    <xf numFmtId="0" fontId="21" fillId="0" borderId="37" xfId="2" applyFont="1" applyBorder="1" applyAlignment="1" applyProtection="1">
      <alignment horizontal="center" vertical="center"/>
      <protection locked="0"/>
    </xf>
    <xf numFmtId="0" fontId="21" fillId="0" borderId="46" xfId="2" applyFont="1" applyBorder="1" applyAlignment="1" applyProtection="1">
      <alignment horizontal="center" vertical="center"/>
      <protection locked="0"/>
    </xf>
    <xf numFmtId="0" fontId="23" fillId="0" borderId="37" xfId="2" applyFont="1" applyBorder="1" applyAlignment="1" applyProtection="1">
      <alignment horizontal="center" vertical="center" wrapText="1"/>
      <protection locked="0"/>
    </xf>
    <xf numFmtId="0" fontId="23" fillId="0" borderId="46" xfId="2" applyFont="1" applyBorder="1" applyAlignment="1" applyProtection="1">
      <alignment horizontal="center" vertical="center"/>
      <protection locked="0"/>
    </xf>
    <xf numFmtId="0" fontId="22" fillId="0" borderId="53" xfId="2" applyFont="1" applyBorder="1" applyAlignment="1" applyProtection="1">
      <alignment horizontal="center" vertical="center"/>
      <protection locked="0"/>
    </xf>
    <xf numFmtId="0" fontId="22" fillId="0" borderId="52" xfId="2" applyFont="1" applyBorder="1" applyAlignment="1" applyProtection="1">
      <alignment horizontal="center" vertical="center"/>
      <protection locked="0"/>
    </xf>
    <xf numFmtId="0" fontId="22" fillId="0" borderId="51" xfId="2" applyFont="1" applyBorder="1" applyAlignment="1" applyProtection="1">
      <alignment horizontal="center" vertical="center"/>
      <protection locked="0"/>
    </xf>
    <xf numFmtId="49" fontId="11" fillId="0" borderId="42" xfId="0" applyNumberFormat="1" applyFont="1" applyBorder="1" applyAlignment="1">
      <alignment horizontal="center" vertical="center" shrinkToFit="1"/>
    </xf>
    <xf numFmtId="49" fontId="11" fillId="0" borderId="36" xfId="0" applyNumberFormat="1" applyFont="1" applyBorder="1" applyAlignment="1">
      <alignment horizontal="center" vertical="center" shrinkToFit="1"/>
    </xf>
    <xf numFmtId="49" fontId="11" fillId="0" borderId="41" xfId="0" applyNumberFormat="1" applyFont="1" applyBorder="1" applyAlignment="1">
      <alignment horizontal="center" vertical="center" shrinkToFit="1"/>
    </xf>
    <xf numFmtId="49" fontId="11" fillId="0" borderId="40" xfId="0" applyNumberFormat="1" applyFont="1" applyBorder="1" applyAlignment="1">
      <alignment horizontal="center" vertical="center" shrinkToFit="1"/>
    </xf>
    <xf numFmtId="49" fontId="11" fillId="0" borderId="39" xfId="0" applyNumberFormat="1" applyFont="1" applyBorder="1" applyAlignment="1">
      <alignment horizontal="center" vertical="center" shrinkToFit="1"/>
    </xf>
    <xf numFmtId="49" fontId="11" fillId="0" borderId="38" xfId="0" applyNumberFormat="1" applyFont="1" applyBorder="1" applyAlignment="1">
      <alignment horizontal="center" vertical="center" shrinkToFit="1"/>
    </xf>
    <xf numFmtId="0" fontId="23" fillId="0" borderId="37" xfId="0" applyFont="1" applyBorder="1" applyAlignment="1">
      <alignment horizontal="left" vertical="center" shrinkToFit="1"/>
    </xf>
    <xf numFmtId="0" fontId="15" fillId="0" borderId="42" xfId="0" applyFont="1" applyBorder="1" applyAlignment="1">
      <alignment horizontal="center" vertical="center" shrinkToFit="1"/>
    </xf>
    <xf numFmtId="49" fontId="11" fillId="0" borderId="37" xfId="0" quotePrefix="1" applyNumberFormat="1" applyFont="1" applyBorder="1" applyAlignment="1">
      <alignment horizontal="center" vertical="center" shrinkToFit="1"/>
    </xf>
    <xf numFmtId="0" fontId="35" fillId="0" borderId="37" xfId="0" applyFont="1" applyBorder="1" applyAlignment="1">
      <alignment horizontal="left" vertical="center" shrinkToFit="1"/>
    </xf>
    <xf numFmtId="0" fontId="12" fillId="0" borderId="42" xfId="0" applyFont="1" applyBorder="1" applyAlignment="1">
      <alignment horizontal="left" vertical="center" shrinkToFit="1"/>
    </xf>
    <xf numFmtId="0" fontId="12" fillId="0" borderId="36" xfId="0" applyFont="1" applyBorder="1" applyAlignment="1">
      <alignment horizontal="left" vertical="center" shrinkToFit="1"/>
    </xf>
    <xf numFmtId="0" fontId="12" fillId="0" borderId="41" xfId="0" applyFont="1" applyBorder="1" applyAlignment="1">
      <alignment horizontal="left" vertical="center" shrinkToFit="1"/>
    </xf>
    <xf numFmtId="0" fontId="12" fillId="0" borderId="40" xfId="0" applyFont="1" applyBorder="1" applyAlignment="1">
      <alignment horizontal="left" vertical="center" shrinkToFit="1"/>
    </xf>
    <xf numFmtId="0" fontId="12" fillId="0" borderId="39" xfId="0" applyFont="1" applyBorder="1" applyAlignment="1">
      <alignment horizontal="left" vertical="center" shrinkToFit="1"/>
    </xf>
    <xf numFmtId="0" fontId="12" fillId="0" borderId="38" xfId="0" applyFont="1" applyBorder="1" applyAlignment="1">
      <alignment horizontal="left" vertical="center" shrinkToFit="1"/>
    </xf>
    <xf numFmtId="0" fontId="35" fillId="0" borderId="42" xfId="0" applyFont="1" applyBorder="1" applyAlignment="1">
      <alignment horizontal="left" vertical="center" shrinkToFit="1"/>
    </xf>
    <xf numFmtId="0" fontId="35" fillId="0" borderId="36" xfId="0" applyFont="1" applyBorder="1" applyAlignment="1">
      <alignment horizontal="left" vertical="center" shrinkToFit="1"/>
    </xf>
    <xf numFmtId="0" fontId="35" fillId="0" borderId="41" xfId="0" applyFont="1" applyBorder="1" applyAlignment="1">
      <alignment horizontal="left" vertical="center" shrinkToFit="1"/>
    </xf>
    <xf numFmtId="0" fontId="35" fillId="0" borderId="40" xfId="0" applyFont="1" applyBorder="1" applyAlignment="1">
      <alignment horizontal="left" vertical="center" shrinkToFit="1"/>
    </xf>
    <xf numFmtId="0" fontId="35" fillId="0" borderId="39" xfId="0" applyFont="1" applyBorder="1" applyAlignment="1">
      <alignment horizontal="left" vertical="center" shrinkToFit="1"/>
    </xf>
    <xf numFmtId="0" fontId="35" fillId="0" borderId="38" xfId="0" applyFont="1" applyBorder="1" applyAlignment="1">
      <alignment horizontal="left" vertical="center" shrinkToFit="1"/>
    </xf>
    <xf numFmtId="49" fontId="11" fillId="0" borderId="42" xfId="0" quotePrefix="1" applyNumberFormat="1" applyFont="1" applyBorder="1" applyAlignment="1">
      <alignment horizontal="center" vertical="center" shrinkToFit="1"/>
    </xf>
    <xf numFmtId="0" fontId="11" fillId="0" borderId="37" xfId="0" applyFont="1" applyBorder="1" applyAlignment="1">
      <alignment horizontal="left" vertical="center" shrinkToFit="1"/>
    </xf>
    <xf numFmtId="0" fontId="21" fillId="0" borderId="40" xfId="2" applyFont="1" applyBorder="1" applyAlignment="1" applyProtection="1">
      <alignment vertical="center" wrapText="1"/>
      <protection locked="0"/>
    </xf>
    <xf numFmtId="0" fontId="21" fillId="0" borderId="39" xfId="2" applyFont="1" applyBorder="1" applyAlignment="1" applyProtection="1">
      <alignment vertical="center" wrapText="1"/>
      <protection locked="0"/>
    </xf>
    <xf numFmtId="0" fontId="21" fillId="0" borderId="38" xfId="2" applyFont="1" applyBorder="1" applyAlignment="1" applyProtection="1">
      <alignment vertical="center" wrapText="1"/>
      <protection locked="0"/>
    </xf>
    <xf numFmtId="0" fontId="11" fillId="0" borderId="42" xfId="0" applyFont="1" applyBorder="1" applyAlignment="1">
      <alignment horizontal="left" vertical="center" shrinkToFit="1"/>
    </xf>
    <xf numFmtId="0" fontId="11" fillId="0" borderId="36" xfId="0" applyFont="1" applyBorder="1" applyAlignment="1">
      <alignment horizontal="left" vertical="center" shrinkToFit="1"/>
    </xf>
    <xf numFmtId="0" fontId="11" fillId="0" borderId="41" xfId="0" applyFont="1" applyBorder="1" applyAlignment="1">
      <alignment horizontal="left" vertical="center" shrinkToFit="1"/>
    </xf>
    <xf numFmtId="0" fontId="11" fillId="0" borderId="40" xfId="0" applyFont="1" applyBorder="1" applyAlignment="1">
      <alignment horizontal="left" vertical="center" shrinkToFit="1"/>
    </xf>
    <xf numFmtId="0" fontId="11" fillId="0" borderId="39" xfId="0" applyFont="1" applyBorder="1" applyAlignment="1">
      <alignment horizontal="left" vertical="center" shrinkToFit="1"/>
    </xf>
    <xf numFmtId="0" fontId="11" fillId="0" borderId="38" xfId="0" applyFont="1" applyBorder="1" applyAlignment="1">
      <alignment horizontal="left" vertical="center" shrinkToFit="1"/>
    </xf>
    <xf numFmtId="0" fontId="23" fillId="0" borderId="56" xfId="2" applyFont="1" applyBorder="1" applyAlignment="1">
      <alignment horizontal="center" vertical="center"/>
    </xf>
    <xf numFmtId="0" fontId="32" fillId="0" borderId="36" xfId="2" applyFont="1" applyBorder="1" applyAlignment="1" applyProtection="1">
      <alignment horizontal="center" vertical="center"/>
      <protection locked="0"/>
    </xf>
    <xf numFmtId="0" fontId="32" fillId="0" borderId="0" xfId="2" applyFont="1" applyAlignment="1" applyProtection="1">
      <alignment horizontal="center" vertical="center"/>
      <protection locked="0"/>
    </xf>
    <xf numFmtId="177" fontId="25" fillId="0" borderId="0" xfId="2" applyNumberFormat="1" applyFont="1" applyAlignment="1">
      <alignment horizontal="right" vertical="center"/>
    </xf>
    <xf numFmtId="0" fontId="23" fillId="0" borderId="50" xfId="0" applyFont="1" applyBorder="1" applyAlignment="1">
      <alignment horizontal="center" vertical="center" shrinkToFit="1"/>
    </xf>
    <xf numFmtId="0" fontId="23" fillId="0" borderId="53" xfId="2" applyFont="1" applyBorder="1" applyAlignment="1" applyProtection="1">
      <alignment horizontal="center" vertical="center"/>
      <protection locked="0"/>
    </xf>
    <xf numFmtId="0" fontId="23" fillId="0" borderId="52" xfId="2" applyFont="1" applyBorder="1" applyAlignment="1" applyProtection="1">
      <alignment horizontal="center" vertical="center"/>
      <protection locked="0"/>
    </xf>
    <xf numFmtId="0" fontId="23" fillId="0" borderId="51" xfId="2" applyFont="1" applyBorder="1" applyAlignment="1" applyProtection="1">
      <alignment horizontal="center" vertical="center"/>
      <protection locked="0"/>
    </xf>
    <xf numFmtId="176" fontId="23" fillId="0" borderId="37" xfId="2" applyNumberFormat="1" applyFont="1" applyBorder="1" applyAlignment="1">
      <alignment horizontal="center" vertical="center" textRotation="255"/>
    </xf>
    <xf numFmtId="0" fontId="23" fillId="0" borderId="54" xfId="2" applyFont="1" applyBorder="1" applyAlignment="1">
      <alignment horizontal="center" vertical="center" textRotation="255"/>
    </xf>
    <xf numFmtId="0" fontId="23" fillId="0" borderId="55" xfId="2" applyFont="1" applyBorder="1" applyAlignment="1">
      <alignment horizontal="center" vertical="center" textRotation="255"/>
    </xf>
    <xf numFmtId="0" fontId="23" fillId="0" borderId="43" xfId="2" applyFont="1" applyBorder="1" applyAlignment="1">
      <alignment horizontal="center" vertical="center" textRotation="255"/>
    </xf>
    <xf numFmtId="0" fontId="29" fillId="0" borderId="50" xfId="0" applyFont="1" applyBorder="1" applyAlignment="1">
      <alignment horizontal="center" vertical="center"/>
    </xf>
    <xf numFmtId="0" fontId="29" fillId="0" borderId="37" xfId="0" applyFont="1" applyBorder="1" applyAlignment="1">
      <alignment horizontal="center" vertical="center"/>
    </xf>
    <xf numFmtId="0" fontId="31" fillId="0" borderId="37" xfId="0" applyFont="1" applyBorder="1" applyAlignment="1">
      <alignment vertical="center" shrinkToFit="1"/>
    </xf>
    <xf numFmtId="0" fontId="36" fillId="3" borderId="37" xfId="0" applyFont="1" applyFill="1" applyBorder="1" applyAlignment="1">
      <alignment horizontal="center" vertical="center"/>
    </xf>
    <xf numFmtId="49" fontId="11" fillId="3" borderId="42" xfId="0" applyNumberFormat="1" applyFont="1" applyFill="1" applyBorder="1" applyAlignment="1">
      <alignment horizontal="center" vertical="center" shrinkToFit="1"/>
    </xf>
    <xf numFmtId="49" fontId="11" fillId="3" borderId="36" xfId="0" applyNumberFormat="1" applyFont="1" applyFill="1" applyBorder="1" applyAlignment="1">
      <alignment horizontal="center" vertical="center" shrinkToFit="1"/>
    </xf>
    <xf numFmtId="49" fontId="11" fillId="3" borderId="41" xfId="0" applyNumberFormat="1" applyFont="1" applyFill="1" applyBorder="1" applyAlignment="1">
      <alignment horizontal="center" vertical="center" shrinkToFit="1"/>
    </xf>
    <xf numFmtId="49" fontId="11" fillId="3" borderId="40" xfId="0" applyNumberFormat="1" applyFont="1" applyFill="1" applyBorder="1" applyAlignment="1">
      <alignment horizontal="center" vertical="center" shrinkToFit="1"/>
    </xf>
    <xf numFmtId="49" fontId="11" fillId="3" borderId="39" xfId="0" applyNumberFormat="1" applyFont="1" applyFill="1" applyBorder="1" applyAlignment="1">
      <alignment horizontal="center" vertical="center" shrinkToFit="1"/>
    </xf>
    <xf numFmtId="49" fontId="11" fillId="3" borderId="38" xfId="0" applyNumberFormat="1" applyFont="1" applyFill="1" applyBorder="1" applyAlignment="1">
      <alignment horizontal="center" vertical="center" shrinkToFit="1"/>
    </xf>
    <xf numFmtId="0" fontId="11" fillId="3" borderId="42" xfId="0" applyFont="1" applyFill="1" applyBorder="1" applyAlignment="1">
      <alignment horizontal="left" vertical="center" shrinkToFit="1"/>
    </xf>
    <xf numFmtId="0" fontId="11" fillId="3" borderId="36" xfId="0" applyFont="1" applyFill="1" applyBorder="1" applyAlignment="1">
      <alignment horizontal="left" vertical="center" shrinkToFit="1"/>
    </xf>
    <xf numFmtId="0" fontId="11" fillId="3" borderId="41" xfId="0" applyFont="1" applyFill="1" applyBorder="1" applyAlignment="1">
      <alignment horizontal="left" vertical="center" shrinkToFit="1"/>
    </xf>
    <xf numFmtId="0" fontId="11" fillId="3" borderId="40" xfId="0" applyFont="1" applyFill="1" applyBorder="1" applyAlignment="1">
      <alignment horizontal="left" vertical="center" shrinkToFit="1"/>
    </xf>
    <xf numFmtId="0" fontId="11" fillId="3" borderId="39" xfId="0" applyFont="1" applyFill="1" applyBorder="1" applyAlignment="1">
      <alignment horizontal="left" vertical="center" shrinkToFit="1"/>
    </xf>
    <xf numFmtId="0" fontId="11" fillId="3" borderId="38" xfId="0" applyFont="1" applyFill="1" applyBorder="1" applyAlignment="1">
      <alignment horizontal="left" vertical="center" shrinkToFit="1"/>
    </xf>
    <xf numFmtId="0" fontId="38" fillId="0" borderId="42" xfId="2" applyFont="1" applyBorder="1" applyAlignment="1" applyProtection="1">
      <alignment horizontal="center" vertical="center"/>
      <protection locked="0"/>
    </xf>
    <xf numFmtId="0" fontId="38" fillId="0" borderId="36" xfId="2" applyFont="1" applyBorder="1" applyAlignment="1" applyProtection="1">
      <alignment horizontal="center" vertical="center"/>
      <protection locked="0"/>
    </xf>
    <xf numFmtId="0" fontId="38" fillId="0" borderId="41" xfId="2" applyFont="1" applyBorder="1" applyAlignment="1" applyProtection="1">
      <alignment horizontal="center" vertical="center"/>
      <protection locked="0"/>
    </xf>
    <xf numFmtId="0" fontId="38" fillId="0" borderId="40" xfId="2" applyFont="1" applyBorder="1" applyAlignment="1" applyProtection="1">
      <alignment horizontal="center" vertical="center"/>
      <protection locked="0"/>
    </xf>
    <xf numFmtId="0" fontId="38" fillId="0" borderId="39" xfId="2" applyFont="1" applyBorder="1" applyAlignment="1" applyProtection="1">
      <alignment horizontal="center" vertical="center"/>
      <protection locked="0"/>
    </xf>
    <xf numFmtId="0" fontId="38" fillId="0" borderId="38" xfId="2" applyFont="1" applyBorder="1" applyAlignment="1" applyProtection="1">
      <alignment horizontal="center" vertical="center"/>
      <protection locked="0"/>
    </xf>
    <xf numFmtId="49" fontId="30" fillId="3" borderId="42" xfId="0" quotePrefix="1" applyNumberFormat="1" applyFont="1" applyFill="1" applyBorder="1" applyAlignment="1">
      <alignment horizontal="center" vertical="center" shrinkToFit="1"/>
    </xf>
    <xf numFmtId="49" fontId="30" fillId="3" borderId="36" xfId="0" applyNumberFormat="1" applyFont="1" applyFill="1" applyBorder="1" applyAlignment="1">
      <alignment horizontal="center" vertical="center" shrinkToFit="1"/>
    </xf>
    <xf numFmtId="49" fontId="30" fillId="3" borderId="41" xfId="0" applyNumberFormat="1" applyFont="1" applyFill="1" applyBorder="1" applyAlignment="1">
      <alignment horizontal="center" vertical="center" shrinkToFit="1"/>
    </xf>
    <xf numFmtId="49" fontId="30" fillId="3" borderId="40" xfId="0" applyNumberFormat="1" applyFont="1" applyFill="1" applyBorder="1" applyAlignment="1">
      <alignment horizontal="center" vertical="center" shrinkToFit="1"/>
    </xf>
    <xf numFmtId="49" fontId="30" fillId="3" borderId="39" xfId="0" applyNumberFormat="1" applyFont="1" applyFill="1" applyBorder="1" applyAlignment="1">
      <alignment horizontal="center" vertical="center" shrinkToFit="1"/>
    </xf>
    <xf numFmtId="49" fontId="30" fillId="3" borderId="38" xfId="0" applyNumberFormat="1" applyFont="1" applyFill="1" applyBorder="1" applyAlignment="1">
      <alignment horizontal="center" vertical="center" shrinkToFit="1"/>
    </xf>
    <xf numFmtId="0" fontId="30" fillId="3" borderId="42" xfId="0" applyFont="1" applyFill="1" applyBorder="1" applyAlignment="1">
      <alignment horizontal="left" vertical="center" shrinkToFit="1"/>
    </xf>
    <xf numFmtId="0" fontId="30" fillId="3" borderId="36" xfId="0" applyFont="1" applyFill="1" applyBorder="1" applyAlignment="1">
      <alignment horizontal="left" vertical="center" shrinkToFit="1"/>
    </xf>
    <xf numFmtId="0" fontId="30" fillId="3" borderId="41" xfId="0" applyFont="1" applyFill="1" applyBorder="1" applyAlignment="1">
      <alignment horizontal="left" vertical="center" shrinkToFit="1"/>
    </xf>
    <xf numFmtId="0" fontId="30" fillId="3" borderId="40" xfId="0" applyFont="1" applyFill="1" applyBorder="1" applyAlignment="1">
      <alignment horizontal="left" vertical="center" shrinkToFit="1"/>
    </xf>
    <xf numFmtId="0" fontId="30" fillId="3" borderId="39" xfId="0" applyFont="1" applyFill="1" applyBorder="1" applyAlignment="1">
      <alignment horizontal="left" vertical="center" shrinkToFit="1"/>
    </xf>
    <xf numFmtId="0" fontId="30" fillId="3" borderId="38" xfId="0" applyFont="1" applyFill="1" applyBorder="1" applyAlignment="1">
      <alignment horizontal="left" vertical="center" shrinkToFit="1"/>
    </xf>
    <xf numFmtId="0" fontId="15" fillId="0" borderId="37" xfId="0" applyFont="1" applyBorder="1" applyAlignment="1">
      <alignment horizontal="center" vertical="center"/>
    </xf>
    <xf numFmtId="49" fontId="11" fillId="0" borderId="36" xfId="0" quotePrefix="1" applyNumberFormat="1" applyFont="1" applyBorder="1" applyAlignment="1">
      <alignment horizontal="center" vertical="center" shrinkToFit="1"/>
    </xf>
    <xf numFmtId="49" fontId="11" fillId="0" borderId="41" xfId="0" quotePrefix="1" applyNumberFormat="1" applyFont="1" applyBorder="1" applyAlignment="1">
      <alignment horizontal="center" vertical="center" shrinkToFit="1"/>
    </xf>
    <xf numFmtId="49" fontId="11" fillId="0" borderId="40" xfId="0" quotePrefix="1" applyNumberFormat="1" applyFont="1" applyBorder="1" applyAlignment="1">
      <alignment horizontal="center" vertical="center" shrinkToFit="1"/>
    </xf>
    <xf numFmtId="49" fontId="11" fillId="0" borderId="39" xfId="0" quotePrefix="1" applyNumberFormat="1" applyFont="1" applyBorder="1" applyAlignment="1">
      <alignment horizontal="center" vertical="center" shrinkToFit="1"/>
    </xf>
    <xf numFmtId="49" fontId="11" fillId="0" borderId="38" xfId="0" quotePrefix="1" applyNumberFormat="1" applyFont="1" applyBorder="1" applyAlignment="1">
      <alignment horizontal="center" vertical="center" shrinkToFit="1"/>
    </xf>
    <xf numFmtId="0" fontId="23" fillId="0" borderId="42" xfId="2" applyFont="1" applyBorder="1" applyAlignment="1" applyProtection="1">
      <alignment horizontal="center" vertical="center" wrapText="1"/>
      <protection locked="0"/>
    </xf>
    <xf numFmtId="0" fontId="23" fillId="0" borderId="36" xfId="2" applyFont="1" applyBorder="1" applyAlignment="1" applyProtection="1">
      <alignment horizontal="center" vertical="center" wrapText="1"/>
      <protection locked="0"/>
    </xf>
    <xf numFmtId="0" fontId="23" fillId="0" borderId="41" xfId="2" applyFont="1" applyBorder="1" applyAlignment="1" applyProtection="1">
      <alignment horizontal="center" vertical="center" wrapText="1"/>
      <protection locked="0"/>
    </xf>
    <xf numFmtId="0" fontId="23" fillId="0" borderId="45" xfId="2" applyFont="1" applyBorder="1" applyAlignment="1" applyProtection="1">
      <alignment horizontal="center" vertical="center" wrapText="1"/>
      <protection locked="0"/>
    </xf>
    <xf numFmtId="0" fontId="23" fillId="0" borderId="0" xfId="2" applyFont="1" applyAlignment="1" applyProtection="1">
      <alignment horizontal="center" vertical="center" wrapText="1"/>
      <protection locked="0"/>
    </xf>
    <xf numFmtId="0" fontId="23" fillId="0" borderId="44" xfId="2" applyFont="1" applyBorder="1" applyAlignment="1" applyProtection="1">
      <alignment horizontal="center" vertical="center" wrapText="1"/>
      <protection locked="0"/>
    </xf>
    <xf numFmtId="0" fontId="23" fillId="0" borderId="48" xfId="2" applyFont="1" applyBorder="1" applyAlignment="1" applyProtection="1">
      <alignment horizontal="center" vertical="center" wrapText="1"/>
      <protection locked="0"/>
    </xf>
    <xf numFmtId="0" fontId="23" fillId="0" borderId="10" xfId="2" applyFont="1" applyBorder="1" applyAlignment="1" applyProtection="1">
      <alignment horizontal="center" vertical="center" wrapText="1"/>
      <protection locked="0"/>
    </xf>
    <xf numFmtId="0" fontId="23" fillId="0" borderId="47" xfId="2" applyFont="1" applyBorder="1" applyAlignment="1" applyProtection="1">
      <alignment horizontal="center" vertical="center" wrapText="1"/>
      <protection locked="0"/>
    </xf>
    <xf numFmtId="176" fontId="23" fillId="0" borderId="54" xfId="2" applyNumberFormat="1" applyFont="1" applyBorder="1" applyAlignment="1">
      <alignment horizontal="center" vertical="center" textRotation="255"/>
    </xf>
    <xf numFmtId="176" fontId="23" fillId="0" borderId="55" xfId="2" applyNumberFormat="1" applyFont="1" applyBorder="1" applyAlignment="1">
      <alignment horizontal="center" vertical="center" textRotation="255"/>
    </xf>
    <xf numFmtId="176" fontId="23" fillId="0" borderId="43" xfId="2" applyNumberFormat="1" applyFont="1" applyBorder="1" applyAlignment="1">
      <alignment horizontal="center" vertical="center" textRotation="255"/>
    </xf>
    <xf numFmtId="0" fontId="12" fillId="0" borderId="42" xfId="2" applyFont="1" applyBorder="1" applyAlignment="1">
      <alignment horizontal="center" vertical="center" textRotation="255"/>
    </xf>
    <xf numFmtId="0" fontId="12" fillId="0" borderId="41" xfId="2" applyFont="1" applyBorder="1" applyAlignment="1">
      <alignment horizontal="center" vertical="center" textRotation="255"/>
    </xf>
    <xf numFmtId="0" fontId="12" fillId="0" borderId="45" xfId="2" applyFont="1" applyBorder="1" applyAlignment="1">
      <alignment horizontal="center" vertical="center" textRotation="255"/>
    </xf>
    <xf numFmtId="0" fontId="12" fillId="0" borderId="44" xfId="2" applyFont="1" applyBorder="1" applyAlignment="1">
      <alignment horizontal="center" vertical="center" textRotation="255"/>
    </xf>
    <xf numFmtId="0" fontId="12" fillId="0" borderId="48" xfId="2" applyFont="1" applyBorder="1" applyAlignment="1">
      <alignment horizontal="center" vertical="center" textRotation="255"/>
    </xf>
    <xf numFmtId="0" fontId="12" fillId="0" borderId="47" xfId="2" applyFont="1" applyBorder="1" applyAlignment="1">
      <alignment horizontal="center" vertical="center" textRotation="255"/>
    </xf>
    <xf numFmtId="0" fontId="21" fillId="0" borderId="45" xfId="2" applyFont="1" applyBorder="1" applyAlignment="1" applyProtection="1">
      <alignment horizontal="center" vertical="center" wrapText="1"/>
      <protection locked="0"/>
    </xf>
    <xf numFmtId="0" fontId="21" fillId="0" borderId="0" xfId="2" applyFont="1" applyAlignment="1" applyProtection="1">
      <alignment horizontal="center" vertical="center" wrapText="1"/>
      <protection locked="0"/>
    </xf>
    <xf numFmtId="0" fontId="21" fillId="0" borderId="44" xfId="2" applyFont="1" applyBorder="1" applyAlignment="1" applyProtection="1">
      <alignment horizontal="center" vertical="center" wrapText="1"/>
      <protection locked="0"/>
    </xf>
    <xf numFmtId="0" fontId="21" fillId="0" borderId="48" xfId="2" applyFont="1" applyBorder="1" applyAlignment="1" applyProtection="1">
      <alignment horizontal="center" vertical="center" wrapText="1"/>
      <protection locked="0"/>
    </xf>
    <xf numFmtId="0" fontId="21" fillId="0" borderId="10" xfId="2" applyFont="1" applyBorder="1" applyAlignment="1" applyProtection="1">
      <alignment horizontal="center" vertical="center" wrapText="1"/>
      <protection locked="0"/>
    </xf>
    <xf numFmtId="0" fontId="21" fillId="0" borderId="47" xfId="2" applyFont="1" applyBorder="1" applyAlignment="1" applyProtection="1">
      <alignment horizontal="center" vertical="center" wrapText="1"/>
      <protection locked="0"/>
    </xf>
    <xf numFmtId="0" fontId="23" fillId="0" borderId="50" xfId="0" applyFont="1" applyBorder="1" applyAlignment="1">
      <alignment horizontal="center" vertical="center"/>
    </xf>
    <xf numFmtId="0" fontId="22" fillId="0" borderId="45" xfId="2" applyFont="1" applyBorder="1" applyAlignment="1">
      <alignment horizontal="center" vertical="center"/>
    </xf>
    <xf numFmtId="0" fontId="22" fillId="0" borderId="0" xfId="2" applyFont="1" applyAlignment="1">
      <alignment horizontal="center" vertical="center"/>
    </xf>
    <xf numFmtId="0" fontId="22" fillId="0" borderId="44" xfId="2" applyFont="1" applyBorder="1" applyAlignment="1">
      <alignment horizontal="center" vertical="center"/>
    </xf>
    <xf numFmtId="0" fontId="22" fillId="0" borderId="48" xfId="2" applyFont="1" applyBorder="1" applyAlignment="1">
      <alignment horizontal="center" vertical="center"/>
    </xf>
    <xf numFmtId="0" fontId="22" fillId="0" borderId="10" xfId="2" applyFont="1" applyBorder="1" applyAlignment="1">
      <alignment horizontal="center" vertical="center"/>
    </xf>
    <xf numFmtId="0" fontId="22" fillId="0" borderId="47" xfId="2" applyFont="1" applyBorder="1" applyAlignment="1">
      <alignment horizontal="center" vertical="center"/>
    </xf>
    <xf numFmtId="49" fontId="30" fillId="0" borderId="42" xfId="0" quotePrefix="1" applyNumberFormat="1" applyFont="1" applyBorder="1" applyAlignment="1">
      <alignment horizontal="center" vertical="center" shrinkToFit="1"/>
    </xf>
    <xf numFmtId="49" fontId="30" fillId="0" borderId="36" xfId="0" applyNumberFormat="1" applyFont="1" applyBorder="1" applyAlignment="1">
      <alignment horizontal="center" vertical="center" shrinkToFit="1"/>
    </xf>
    <xf numFmtId="49" fontId="30" fillId="0" borderId="41" xfId="0" applyNumberFormat="1" applyFont="1" applyBorder="1" applyAlignment="1">
      <alignment horizontal="center" vertical="center" shrinkToFit="1"/>
    </xf>
    <xf numFmtId="49" fontId="30" fillId="0" borderId="40" xfId="0" applyNumberFormat="1" applyFont="1" applyBorder="1" applyAlignment="1">
      <alignment horizontal="center" vertical="center" shrinkToFit="1"/>
    </xf>
    <xf numFmtId="49" fontId="30" fillId="0" borderId="39" xfId="0" applyNumberFormat="1" applyFont="1" applyBorder="1" applyAlignment="1">
      <alignment horizontal="center" vertical="center" shrinkToFit="1"/>
    </xf>
    <xf numFmtId="49" fontId="30" fillId="0" borderId="38" xfId="0" applyNumberFormat="1" applyFont="1" applyBorder="1" applyAlignment="1">
      <alignment horizontal="center" vertical="center" shrinkToFit="1"/>
    </xf>
    <xf numFmtId="49" fontId="16" fillId="0" borderId="57" xfId="0" quotePrefix="1" applyNumberFormat="1" applyFont="1" applyBorder="1" applyAlignment="1">
      <alignment horizontal="center" vertical="center" shrinkToFit="1"/>
    </xf>
    <xf numFmtId="49" fontId="16" fillId="0" borderId="29" xfId="0" applyNumberFormat="1" applyFont="1" applyBorder="1" applyAlignment="1">
      <alignment horizontal="center" vertical="center" shrinkToFit="1"/>
    </xf>
    <xf numFmtId="49" fontId="16" fillId="0" borderId="56" xfId="0" applyNumberFormat="1" applyFont="1" applyBorder="1" applyAlignment="1">
      <alignment horizontal="center" vertical="center" shrinkToFit="1"/>
    </xf>
    <xf numFmtId="49" fontId="16" fillId="0" borderId="57" xfId="0" applyNumberFormat="1" applyFont="1" applyBorder="1" applyAlignment="1">
      <alignment horizontal="center" vertical="center" shrinkToFit="1"/>
    </xf>
    <xf numFmtId="0" fontId="15" fillId="0" borderId="37" xfId="0" applyFont="1" applyBorder="1" applyAlignment="1">
      <alignment horizontal="left" vertical="center" shrinkToFit="1"/>
    </xf>
    <xf numFmtId="0" fontId="11" fillId="0" borderId="37" xfId="0" applyFont="1" applyBorder="1" applyAlignment="1">
      <alignment vertical="center" wrapText="1"/>
    </xf>
    <xf numFmtId="0" fontId="37" fillId="0" borderId="37" xfId="0" applyFont="1" applyBorder="1" applyAlignment="1">
      <alignment horizontal="left" vertical="center"/>
    </xf>
    <xf numFmtId="0" fontId="16" fillId="0" borderId="42" xfId="0" applyFont="1" applyBorder="1" applyAlignment="1">
      <alignment horizontal="left" vertical="center" shrinkToFit="1"/>
    </xf>
    <xf numFmtId="0" fontId="16" fillId="0" borderId="36" xfId="0" applyFont="1" applyBorder="1" applyAlignment="1">
      <alignment horizontal="left" vertical="center" shrinkToFit="1"/>
    </xf>
    <xf numFmtId="0" fontId="16" fillId="0" borderId="41" xfId="0" applyFont="1" applyBorder="1" applyAlignment="1">
      <alignment horizontal="left" vertical="center" shrinkToFit="1"/>
    </xf>
    <xf numFmtId="0" fontId="16" fillId="0" borderId="40" xfId="0" applyFont="1" applyBorder="1" applyAlignment="1">
      <alignment horizontal="left" vertical="center" shrinkToFit="1"/>
    </xf>
    <xf numFmtId="0" fontId="16" fillId="0" borderId="39" xfId="0" applyFont="1" applyBorder="1" applyAlignment="1">
      <alignment horizontal="left" vertical="center" shrinkToFit="1"/>
    </xf>
    <xf numFmtId="0" fontId="16" fillId="0" borderId="38" xfId="0" applyFont="1" applyBorder="1" applyAlignment="1">
      <alignment horizontal="left" vertical="center" shrinkToFit="1"/>
    </xf>
    <xf numFmtId="49" fontId="23" fillId="0" borderId="57" xfId="0" applyNumberFormat="1" applyFont="1" applyBorder="1" applyAlignment="1">
      <alignment horizontal="center" vertical="center" shrinkToFit="1"/>
    </xf>
    <xf numFmtId="49" fontId="23" fillId="0" borderId="29" xfId="0" applyNumberFormat="1" applyFont="1" applyBorder="1" applyAlignment="1">
      <alignment horizontal="center" vertical="center" shrinkToFit="1"/>
    </xf>
    <xf numFmtId="49" fontId="23" fillId="0" borderId="56" xfId="0" applyNumberFormat="1" applyFont="1" applyBorder="1" applyAlignment="1">
      <alignment horizontal="center" vertical="center" shrinkToFit="1"/>
    </xf>
    <xf numFmtId="0" fontId="23" fillId="0" borderId="37" xfId="0" applyFont="1" applyBorder="1" applyAlignment="1">
      <alignment horizontal="left" vertical="center"/>
    </xf>
    <xf numFmtId="0" fontId="37" fillId="0" borderId="37" xfId="0" applyFont="1" applyBorder="1" applyAlignment="1">
      <alignment horizontal="center" vertical="center" shrinkToFit="1"/>
    </xf>
    <xf numFmtId="49" fontId="16" fillId="0" borderId="37" xfId="0" applyNumberFormat="1" applyFont="1" applyBorder="1" applyAlignment="1">
      <alignment horizontal="center" vertical="center" shrinkToFit="1"/>
    </xf>
    <xf numFmtId="0" fontId="0" fillId="0" borderId="53"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0" fontId="27" fillId="0" borderId="53" xfId="0" applyFont="1" applyBorder="1" applyAlignment="1" applyProtection="1">
      <alignment horizontal="center" vertical="center"/>
      <protection locked="0"/>
    </xf>
    <xf numFmtId="0" fontId="27" fillId="0" borderId="52" xfId="0" applyFont="1" applyBorder="1" applyAlignment="1" applyProtection="1">
      <alignment horizontal="center" vertical="center"/>
      <protection locked="0"/>
    </xf>
    <xf numFmtId="0" fontId="27" fillId="0" borderId="51" xfId="0" applyFont="1" applyBorder="1" applyAlignment="1" applyProtection="1">
      <alignment horizontal="center" vertical="center"/>
      <protection locked="0"/>
    </xf>
    <xf numFmtId="0" fontId="27" fillId="0" borderId="40" xfId="0" applyFont="1" applyBorder="1" applyAlignment="1" applyProtection="1">
      <alignment horizontal="center" vertical="center"/>
      <protection locked="0"/>
    </xf>
    <xf numFmtId="0" fontId="27" fillId="0" borderId="39" xfId="0" applyFont="1" applyBorder="1" applyAlignment="1" applyProtection="1">
      <alignment horizontal="center" vertical="center"/>
      <protection locked="0"/>
    </xf>
    <xf numFmtId="0" fontId="27" fillId="0" borderId="38" xfId="0" applyFont="1" applyBorder="1" applyAlignment="1" applyProtection="1">
      <alignment horizontal="center" vertical="center"/>
      <protection locked="0"/>
    </xf>
    <xf numFmtId="0" fontId="21" fillId="0" borderId="54" xfId="2" applyFont="1" applyBorder="1" applyAlignment="1" applyProtection="1">
      <alignment horizontal="center" vertical="center"/>
      <protection locked="0"/>
    </xf>
    <xf numFmtId="0" fontId="23" fillId="0" borderId="54" xfId="2" applyFont="1" applyBorder="1" applyAlignment="1" applyProtection="1">
      <alignment horizontal="center" vertical="center"/>
      <protection locked="0"/>
    </xf>
    <xf numFmtId="0" fontId="23" fillId="0" borderId="46" xfId="0" applyFont="1" applyBorder="1" applyAlignment="1">
      <alignment horizontal="center" vertical="center" shrinkToFit="1"/>
    </xf>
    <xf numFmtId="49" fontId="11" fillId="0" borderId="45" xfId="0" applyNumberFormat="1" applyFont="1" applyBorder="1" applyAlignment="1">
      <alignment horizontal="center" vertical="center"/>
    </xf>
    <xf numFmtId="49" fontId="11" fillId="0" borderId="0" xfId="0" applyNumberFormat="1" applyFont="1" applyBorder="1" applyAlignment="1">
      <alignment horizontal="center" vertical="center"/>
    </xf>
    <xf numFmtId="49" fontId="11" fillId="0" borderId="44" xfId="0" applyNumberFormat="1" applyFont="1" applyBorder="1" applyAlignment="1">
      <alignment horizontal="center" vertical="center"/>
    </xf>
    <xf numFmtId="49" fontId="11" fillId="0" borderId="48" xfId="0" applyNumberFormat="1" applyFont="1" applyBorder="1" applyAlignment="1">
      <alignment horizontal="center" vertical="center"/>
    </xf>
    <xf numFmtId="49" fontId="11" fillId="0" borderId="10" xfId="0" applyNumberFormat="1" applyFont="1" applyBorder="1" applyAlignment="1">
      <alignment horizontal="center" vertical="center"/>
    </xf>
    <xf numFmtId="49" fontId="11" fillId="0" borderId="47" xfId="0" applyNumberFormat="1" applyFont="1" applyBorder="1" applyAlignment="1">
      <alignment horizontal="center" vertical="center"/>
    </xf>
    <xf numFmtId="49" fontId="23" fillId="0" borderId="45" xfId="0" applyNumberFormat="1" applyFont="1" applyBorder="1" applyAlignment="1">
      <alignment horizontal="center" vertical="center"/>
    </xf>
    <xf numFmtId="49" fontId="23" fillId="0" borderId="0" xfId="0" applyNumberFormat="1" applyFont="1" applyBorder="1" applyAlignment="1">
      <alignment horizontal="center" vertical="center"/>
    </xf>
    <xf numFmtId="49" fontId="23" fillId="0" borderId="44" xfId="0" applyNumberFormat="1" applyFont="1" applyBorder="1" applyAlignment="1">
      <alignment horizontal="center" vertical="center"/>
    </xf>
    <xf numFmtId="49" fontId="23" fillId="0" borderId="48" xfId="0" applyNumberFormat="1" applyFont="1" applyBorder="1" applyAlignment="1">
      <alignment horizontal="center" vertical="center"/>
    </xf>
    <xf numFmtId="49" fontId="23" fillId="0" borderId="10" xfId="0" applyNumberFormat="1" applyFont="1" applyBorder="1" applyAlignment="1">
      <alignment horizontal="center" vertical="center"/>
    </xf>
    <xf numFmtId="49" fontId="23" fillId="0" borderId="47" xfId="0" applyNumberFormat="1" applyFont="1" applyBorder="1" applyAlignment="1">
      <alignment horizontal="center" vertical="center"/>
    </xf>
    <xf numFmtId="0" fontId="23" fillId="0" borderId="55" xfId="0" applyFont="1" applyBorder="1" applyAlignment="1">
      <alignment horizontal="center" vertical="center"/>
    </xf>
    <xf numFmtId="0" fontId="23" fillId="0" borderId="49" xfId="0" applyFont="1" applyBorder="1" applyAlignment="1">
      <alignment horizontal="center" vertical="center"/>
    </xf>
    <xf numFmtId="49" fontId="11" fillId="0" borderId="50" xfId="0" applyNumberFormat="1" applyFont="1" applyBorder="1" applyAlignment="1">
      <alignment horizontal="center" vertical="center" shrinkToFit="1"/>
    </xf>
    <xf numFmtId="0" fontId="12" fillId="0" borderId="50" xfId="0" applyFont="1" applyBorder="1" applyAlignment="1">
      <alignment horizontal="left" vertical="center" shrinkToFit="1"/>
    </xf>
    <xf numFmtId="0" fontId="22" fillId="0" borderId="43" xfId="0" applyFont="1" applyBorder="1" applyAlignment="1">
      <alignment horizontal="center" vertical="center"/>
    </xf>
    <xf numFmtId="0" fontId="22" fillId="0" borderId="46" xfId="0" applyFont="1" applyBorder="1" applyAlignment="1">
      <alignment horizontal="center" vertical="center"/>
    </xf>
    <xf numFmtId="0" fontId="18" fillId="0" borderId="37" xfId="0" applyFont="1" applyBorder="1" applyAlignment="1">
      <alignment horizontal="left" vertical="center"/>
    </xf>
    <xf numFmtId="0" fontId="0" fillId="0" borderId="37" xfId="0" applyBorder="1" applyAlignment="1">
      <alignment horizontal="center" vertical="center"/>
    </xf>
    <xf numFmtId="0" fontId="0" fillId="0" borderId="42"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41" xfId="0" applyBorder="1" applyAlignment="1" applyProtection="1">
      <alignment horizontal="center" vertical="center"/>
      <protection locked="0"/>
    </xf>
    <xf numFmtId="0" fontId="12" fillId="0" borderId="45" xfId="2" applyFont="1" applyBorder="1" applyAlignment="1" applyProtection="1">
      <alignment horizontal="center" vertical="center"/>
      <protection locked="0"/>
    </xf>
    <xf numFmtId="0" fontId="12" fillId="0" borderId="0" xfId="2" applyFont="1" applyAlignment="1" applyProtection="1">
      <alignment horizontal="center" vertical="center"/>
      <protection locked="0"/>
    </xf>
    <xf numFmtId="0" fontId="12" fillId="0" borderId="44" xfId="2" applyFont="1" applyBorder="1" applyAlignment="1" applyProtection="1">
      <alignment horizontal="center" vertical="center"/>
      <protection locked="0"/>
    </xf>
    <xf numFmtId="0" fontId="27" fillId="0" borderId="42" xfId="0" applyFont="1" applyBorder="1" applyAlignment="1" applyProtection="1">
      <alignment horizontal="center" vertical="center"/>
      <protection locked="0"/>
    </xf>
    <xf numFmtId="0" fontId="27" fillId="0" borderId="36" xfId="0" applyFont="1" applyBorder="1" applyAlignment="1" applyProtection="1">
      <alignment horizontal="center" vertical="center"/>
      <protection locked="0"/>
    </xf>
    <xf numFmtId="0" fontId="27" fillId="0" borderId="41" xfId="0" applyFont="1" applyBorder="1" applyAlignment="1" applyProtection="1">
      <alignment horizontal="center" vertical="center"/>
      <protection locked="0"/>
    </xf>
    <xf numFmtId="49" fontId="28" fillId="0" borderId="37" xfId="0" applyNumberFormat="1" applyFont="1" applyBorder="1" applyAlignment="1">
      <alignment horizontal="center" vertical="center"/>
    </xf>
    <xf numFmtId="0" fontId="0" fillId="0" borderId="42" xfId="0" applyBorder="1" applyAlignment="1">
      <alignment horizontal="center" vertical="center"/>
    </xf>
    <xf numFmtId="0" fontId="0" fillId="0" borderId="36" xfId="0" applyBorder="1" applyAlignment="1">
      <alignment horizontal="center" vertical="center"/>
    </xf>
    <xf numFmtId="0" fontId="0" fillId="0" borderId="41" xfId="0" applyBorder="1" applyAlignment="1">
      <alignment horizontal="center" vertical="center"/>
    </xf>
    <xf numFmtId="0" fontId="0" fillId="0" borderId="40"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49" fontId="11" fillId="0" borderId="37" xfId="0" applyNumberFormat="1" applyFont="1" applyBorder="1" applyAlignment="1">
      <alignment horizontal="center" vertical="center"/>
    </xf>
    <xf numFmtId="0" fontId="12" fillId="0" borderId="37" xfId="0" applyFont="1" applyBorder="1" applyAlignment="1">
      <alignment horizontal="left" vertical="center"/>
    </xf>
    <xf numFmtId="49" fontId="28" fillId="0" borderId="43" xfId="0" applyNumberFormat="1" applyFont="1" applyBorder="1" applyAlignment="1">
      <alignment horizontal="center" vertical="center"/>
    </xf>
    <xf numFmtId="0" fontId="13" fillId="0" borderId="43" xfId="0" applyFont="1" applyBorder="1" applyAlignment="1">
      <alignment horizontal="left" vertical="center"/>
    </xf>
    <xf numFmtId="49" fontId="11" fillId="0" borderId="43" xfId="0" applyNumberFormat="1" applyFont="1" applyBorder="1" applyAlignment="1">
      <alignment horizontal="center" vertical="center"/>
    </xf>
    <xf numFmtId="0" fontId="0" fillId="0" borderId="43" xfId="0" applyBorder="1" applyAlignment="1">
      <alignment horizontal="center" vertical="center"/>
    </xf>
    <xf numFmtId="49" fontId="28" fillId="0" borderId="42" xfId="0" applyNumberFormat="1" applyFont="1" applyBorder="1" applyAlignment="1">
      <alignment horizontal="center" vertical="center"/>
    </xf>
    <xf numFmtId="49" fontId="28" fillId="0" borderId="36" xfId="0" applyNumberFormat="1" applyFont="1" applyBorder="1" applyAlignment="1">
      <alignment horizontal="center" vertical="center"/>
    </xf>
    <xf numFmtId="49" fontId="28" fillId="0" borderId="41" xfId="0" applyNumberFormat="1" applyFont="1" applyBorder="1" applyAlignment="1">
      <alignment horizontal="center" vertical="center"/>
    </xf>
    <xf numFmtId="49" fontId="28" fillId="0" borderId="40" xfId="0" applyNumberFormat="1" applyFont="1" applyBorder="1" applyAlignment="1">
      <alignment horizontal="center" vertical="center"/>
    </xf>
    <xf numFmtId="49" fontId="28" fillId="0" borderId="39" xfId="0" applyNumberFormat="1" applyFont="1" applyBorder="1" applyAlignment="1">
      <alignment horizontal="center" vertical="center"/>
    </xf>
    <xf numFmtId="49" fontId="28" fillId="0" borderId="38" xfId="0" applyNumberFormat="1" applyFont="1" applyBorder="1" applyAlignment="1">
      <alignment horizontal="center" vertical="center"/>
    </xf>
    <xf numFmtId="0" fontId="18" fillId="0" borderId="42" xfId="0" applyFont="1" applyBorder="1" applyAlignment="1">
      <alignment horizontal="left" vertical="center"/>
    </xf>
    <xf numFmtId="0" fontId="18" fillId="0" borderId="36" xfId="0" applyFont="1" applyBorder="1" applyAlignment="1">
      <alignment horizontal="left" vertical="center"/>
    </xf>
    <xf numFmtId="0" fontId="18" fillId="0" borderId="41" xfId="0" applyFont="1" applyBorder="1" applyAlignment="1">
      <alignment horizontal="left" vertical="center"/>
    </xf>
    <xf numFmtId="0" fontId="18" fillId="0" borderId="40" xfId="0" applyFont="1" applyBorder="1" applyAlignment="1">
      <alignment horizontal="left" vertical="center"/>
    </xf>
    <xf numFmtId="0" fontId="18" fillId="0" borderId="39" xfId="0" applyFont="1" applyBorder="1" applyAlignment="1">
      <alignment horizontal="left" vertical="center"/>
    </xf>
    <xf numFmtId="0" fontId="18" fillId="0" borderId="38" xfId="0" applyFont="1" applyBorder="1" applyAlignment="1">
      <alignment horizontal="left" vertical="center"/>
    </xf>
    <xf numFmtId="49" fontId="11" fillId="0" borderId="57" xfId="0" applyNumberFormat="1" applyFont="1" applyBorder="1" applyAlignment="1">
      <alignment horizontal="center" vertical="center"/>
    </xf>
    <xf numFmtId="49" fontId="11" fillId="0" borderId="29" xfId="0" applyNumberFormat="1" applyFont="1" applyBorder="1" applyAlignment="1">
      <alignment horizontal="center" vertical="center"/>
    </xf>
    <xf numFmtId="49" fontId="11" fillId="0" borderId="56" xfId="0" applyNumberFormat="1" applyFont="1" applyBorder="1" applyAlignment="1">
      <alignment horizontal="center" vertical="center"/>
    </xf>
    <xf numFmtId="49" fontId="0" fillId="0" borderId="57" xfId="0" applyNumberFormat="1" applyBorder="1" applyAlignment="1">
      <alignment horizontal="center" vertical="center"/>
    </xf>
    <xf numFmtId="49" fontId="0" fillId="0" borderId="29" xfId="0" applyNumberFormat="1" applyBorder="1" applyAlignment="1">
      <alignment horizontal="center" vertical="center"/>
    </xf>
    <xf numFmtId="49" fontId="0" fillId="0" borderId="56" xfId="0" applyNumberFormat="1" applyBorder="1" applyAlignment="1">
      <alignment horizontal="center" vertical="center"/>
    </xf>
    <xf numFmtId="49" fontId="11" fillId="0" borderId="42" xfId="0" applyNumberFormat="1" applyFont="1" applyBorder="1" applyAlignment="1">
      <alignment horizontal="center" vertical="center"/>
    </xf>
    <xf numFmtId="49" fontId="11" fillId="0" borderId="36" xfId="0" applyNumberFormat="1" applyFont="1" applyBorder="1" applyAlignment="1">
      <alignment horizontal="center" vertical="center"/>
    </xf>
    <xf numFmtId="49" fontId="11" fillId="0" borderId="41" xfId="0" applyNumberFormat="1" applyFont="1" applyBorder="1" applyAlignment="1">
      <alignment horizontal="center" vertical="center"/>
    </xf>
    <xf numFmtId="49" fontId="11" fillId="0" borderId="40" xfId="0" applyNumberFormat="1" applyFont="1" applyBorder="1" applyAlignment="1">
      <alignment horizontal="center" vertical="center"/>
    </xf>
    <xf numFmtId="49" fontId="11" fillId="0" borderId="39" xfId="0" applyNumberFormat="1" applyFont="1" applyBorder="1" applyAlignment="1">
      <alignment horizontal="center" vertical="center"/>
    </xf>
    <xf numFmtId="49" fontId="11" fillId="0" borderId="38" xfId="0" applyNumberFormat="1" applyFont="1" applyBorder="1" applyAlignment="1">
      <alignment horizontal="center" vertical="center"/>
    </xf>
    <xf numFmtId="0" fontId="11" fillId="0" borderId="42" xfId="0" applyFont="1" applyBorder="1" applyAlignment="1">
      <alignment horizontal="left" vertical="center"/>
    </xf>
    <xf numFmtId="0" fontId="11" fillId="0" borderId="36" xfId="0" applyFont="1" applyBorder="1" applyAlignment="1">
      <alignment horizontal="left" vertical="center"/>
    </xf>
    <xf numFmtId="0" fontId="11" fillId="0" borderId="41" xfId="0" applyFont="1" applyBorder="1" applyAlignment="1">
      <alignment horizontal="left" vertical="center"/>
    </xf>
    <xf numFmtId="0" fontId="11" fillId="0" borderId="40" xfId="0" applyFont="1" applyBorder="1" applyAlignment="1">
      <alignment horizontal="left" vertical="center"/>
    </xf>
    <xf numFmtId="0" fontId="11" fillId="0" borderId="39" xfId="0" applyFont="1" applyBorder="1" applyAlignment="1">
      <alignment horizontal="left" vertical="center"/>
    </xf>
    <xf numFmtId="0" fontId="11" fillId="0" borderId="38" xfId="0" applyFont="1" applyBorder="1" applyAlignment="1">
      <alignment horizontal="left" vertical="center"/>
    </xf>
    <xf numFmtId="0" fontId="28" fillId="0" borderId="37" xfId="0" applyFont="1" applyBorder="1" applyAlignment="1">
      <alignment horizontal="left" vertical="center"/>
    </xf>
    <xf numFmtId="0" fontId="13" fillId="0" borderId="42" xfId="0" applyFont="1" applyBorder="1" applyAlignment="1">
      <alignment horizontal="left" vertical="center"/>
    </xf>
    <xf numFmtId="0" fontId="12" fillId="0" borderId="36" xfId="0" applyFont="1" applyBorder="1" applyAlignment="1">
      <alignment horizontal="left" vertical="center"/>
    </xf>
    <xf numFmtId="0" fontId="12" fillId="0" borderId="41" xfId="0" applyFont="1" applyBorder="1" applyAlignment="1">
      <alignment horizontal="left" vertical="center"/>
    </xf>
    <xf numFmtId="0" fontId="12" fillId="0" borderId="40" xfId="0" applyFont="1" applyBorder="1" applyAlignment="1">
      <alignment horizontal="left" vertical="center"/>
    </xf>
    <xf numFmtId="0" fontId="12" fillId="0" borderId="39" xfId="0" applyFont="1" applyBorder="1" applyAlignment="1">
      <alignment horizontal="left" vertical="center"/>
    </xf>
    <xf numFmtId="0" fontId="12" fillId="0" borderId="38" xfId="0" applyFont="1" applyBorder="1" applyAlignment="1">
      <alignment horizontal="left" vertical="center"/>
    </xf>
    <xf numFmtId="0" fontId="17" fillId="0" borderId="42" xfId="0" applyFont="1" applyBorder="1" applyAlignment="1">
      <alignment horizontal="center" vertical="center"/>
    </xf>
    <xf numFmtId="0" fontId="15" fillId="0" borderId="36" xfId="0" applyFont="1" applyBorder="1" applyAlignment="1">
      <alignment horizontal="center" vertical="center"/>
    </xf>
    <xf numFmtId="0" fontId="15" fillId="0" borderId="41" xfId="0" applyFont="1" applyBorder="1" applyAlignment="1">
      <alignment horizontal="center" vertical="center"/>
    </xf>
    <xf numFmtId="0" fontId="15" fillId="0" borderId="40" xfId="0" applyFont="1" applyBorder="1" applyAlignment="1">
      <alignment horizontal="center" vertical="center"/>
    </xf>
    <xf numFmtId="0" fontId="15" fillId="0" borderId="39" xfId="0" applyFont="1" applyBorder="1" applyAlignment="1">
      <alignment horizontal="center" vertical="center"/>
    </xf>
    <xf numFmtId="0" fontId="15" fillId="0" borderId="38" xfId="0" applyFont="1" applyBorder="1" applyAlignment="1">
      <alignment horizontal="center" vertical="center"/>
    </xf>
    <xf numFmtId="0" fontId="22" fillId="0" borderId="50" xfId="0" applyFont="1" applyBorder="1" applyAlignment="1">
      <alignment horizontal="center" vertical="center"/>
    </xf>
    <xf numFmtId="0" fontId="22" fillId="0" borderId="48" xfId="2" applyFont="1" applyBorder="1" applyAlignment="1" applyProtection="1">
      <alignment horizontal="center" vertical="center"/>
      <protection locked="0"/>
    </xf>
    <xf numFmtId="0" fontId="22" fillId="0" borderId="10" xfId="2" applyFont="1" applyBorder="1" applyAlignment="1" applyProtection="1">
      <alignment horizontal="center" vertical="center"/>
      <protection locked="0"/>
    </xf>
    <xf numFmtId="0" fontId="22" fillId="0" borderId="47" xfId="2" applyFont="1" applyBorder="1" applyAlignment="1" applyProtection="1">
      <alignment horizontal="center" vertical="center"/>
      <protection locked="0"/>
    </xf>
    <xf numFmtId="0" fontId="23" fillId="0" borderId="48" xfId="2" applyFont="1" applyBorder="1" applyAlignment="1" applyProtection="1">
      <alignment horizontal="center" vertical="center"/>
      <protection locked="0"/>
    </xf>
    <xf numFmtId="0" fontId="23" fillId="0" borderId="10" xfId="2" applyFont="1" applyBorder="1" applyAlignment="1" applyProtection="1">
      <alignment horizontal="center" vertical="center"/>
      <protection locked="0"/>
    </xf>
    <xf numFmtId="0" fontId="23" fillId="0" borderId="47" xfId="2" applyFont="1" applyBorder="1" applyAlignment="1" applyProtection="1">
      <alignment horizontal="center" vertical="center"/>
      <protection locked="0"/>
    </xf>
    <xf numFmtId="49" fontId="11" fillId="0" borderId="53" xfId="0" applyNumberFormat="1" applyFont="1" applyBorder="1" applyAlignment="1">
      <alignment horizontal="center" vertical="center" shrinkToFit="1"/>
    </xf>
    <xf numFmtId="49" fontId="11" fillId="0" borderId="52" xfId="0" applyNumberFormat="1" applyFont="1" applyBorder="1" applyAlignment="1">
      <alignment horizontal="center" vertical="center" shrinkToFit="1"/>
    </xf>
    <xf numFmtId="49" fontId="11" fillId="0" borderId="51" xfId="0" applyNumberFormat="1" applyFont="1" applyBorder="1" applyAlignment="1">
      <alignment horizontal="center" vertical="center" shrinkToFit="1"/>
    </xf>
    <xf numFmtId="49" fontId="11" fillId="0" borderId="48" xfId="0" applyNumberFormat="1" applyFont="1" applyBorder="1" applyAlignment="1">
      <alignment horizontal="center" vertical="center" shrinkToFit="1"/>
    </xf>
    <xf numFmtId="49" fontId="11" fillId="0" borderId="10" xfId="0" applyNumberFormat="1" applyFont="1" applyBorder="1" applyAlignment="1">
      <alignment horizontal="center" vertical="center" shrinkToFit="1"/>
    </xf>
    <xf numFmtId="49" fontId="11" fillId="0" borderId="47" xfId="0" applyNumberFormat="1" applyFont="1" applyBorder="1" applyAlignment="1">
      <alignment horizontal="center" vertical="center" shrinkToFit="1"/>
    </xf>
    <xf numFmtId="49" fontId="23" fillId="0" borderId="53" xfId="0" applyNumberFormat="1" applyFont="1" applyBorder="1" applyAlignment="1">
      <alignment horizontal="center" vertical="center" shrinkToFit="1"/>
    </xf>
    <xf numFmtId="49" fontId="23" fillId="0" borderId="52" xfId="0" applyNumberFormat="1" applyFont="1" applyBorder="1" applyAlignment="1">
      <alignment horizontal="center" vertical="center" shrinkToFit="1"/>
    </xf>
    <xf numFmtId="49" fontId="23" fillId="0" borderId="51" xfId="0" applyNumberFormat="1" applyFont="1" applyBorder="1" applyAlignment="1">
      <alignment horizontal="center" vertical="center" shrinkToFit="1"/>
    </xf>
    <xf numFmtId="49" fontId="23" fillId="0" borderId="48" xfId="0" applyNumberFormat="1" applyFont="1" applyBorder="1" applyAlignment="1">
      <alignment horizontal="center" vertical="center" shrinkToFit="1"/>
    </xf>
    <xf numFmtId="49" fontId="23" fillId="0" borderId="10" xfId="0" applyNumberFormat="1" applyFont="1" applyBorder="1" applyAlignment="1">
      <alignment horizontal="center" vertical="center" shrinkToFit="1"/>
    </xf>
    <xf numFmtId="49" fontId="23" fillId="0" borderId="47" xfId="0" applyNumberFormat="1" applyFont="1" applyBorder="1" applyAlignment="1">
      <alignment horizontal="center" vertical="center" shrinkToFit="1"/>
    </xf>
    <xf numFmtId="0" fontId="20" fillId="0" borderId="42" xfId="0" applyFont="1" applyBorder="1" applyAlignment="1">
      <alignment horizontal="center" vertical="center" shrinkToFit="1"/>
    </xf>
    <xf numFmtId="0" fontId="20" fillId="0" borderId="36" xfId="0" applyFont="1" applyBorder="1" applyAlignment="1">
      <alignment horizontal="center" vertical="center" shrinkToFit="1"/>
    </xf>
    <xf numFmtId="0" fontId="20" fillId="0" borderId="41" xfId="0" applyFont="1" applyBorder="1" applyAlignment="1">
      <alignment horizontal="center" vertical="center" shrinkToFit="1"/>
    </xf>
    <xf numFmtId="0" fontId="20" fillId="0" borderId="40" xfId="0" applyFont="1" applyBorder="1" applyAlignment="1">
      <alignment horizontal="center" vertical="center" shrinkToFit="1"/>
    </xf>
    <xf numFmtId="0" fontId="20" fillId="0" borderId="39" xfId="0" applyFont="1" applyBorder="1" applyAlignment="1">
      <alignment horizontal="center" vertical="center" shrinkToFit="1"/>
    </xf>
    <xf numFmtId="0" fontId="20" fillId="0" borderId="38" xfId="0" applyFont="1" applyBorder="1" applyAlignment="1">
      <alignment horizontal="center" vertical="center" shrinkToFit="1"/>
    </xf>
    <xf numFmtId="49" fontId="12" fillId="0" borderId="37" xfId="0" applyNumberFormat="1" applyFont="1" applyBorder="1" applyAlignment="1">
      <alignment horizontal="left" vertical="center" shrinkToFit="1"/>
    </xf>
    <xf numFmtId="0" fontId="23" fillId="0" borderId="43" xfId="0" applyFont="1" applyBorder="1" applyAlignment="1">
      <alignment horizontal="center" vertical="center"/>
    </xf>
    <xf numFmtId="0" fontId="23" fillId="0" borderId="46" xfId="0" applyFont="1" applyBorder="1" applyAlignment="1">
      <alignment horizontal="center" vertical="center"/>
    </xf>
    <xf numFmtId="49" fontId="11" fillId="0" borderId="46" xfId="0" applyNumberFormat="1" applyFont="1" applyBorder="1" applyAlignment="1">
      <alignment horizontal="center" vertical="center" shrinkToFit="1"/>
    </xf>
    <xf numFmtId="0" fontId="12" fillId="0" borderId="46" xfId="0" applyFont="1" applyBorder="1" applyAlignment="1">
      <alignment horizontal="left" vertical="center" shrinkToFit="1"/>
    </xf>
    <xf numFmtId="0" fontId="20" fillId="0" borderId="43" xfId="0" applyFont="1" applyBorder="1" applyAlignment="1">
      <alignment horizontal="center" vertical="center" shrinkToFit="1"/>
    </xf>
    <xf numFmtId="0" fontId="20" fillId="0" borderId="37" xfId="0" applyFont="1" applyBorder="1" applyAlignment="1">
      <alignment horizontal="center" vertical="center" shrinkToFit="1"/>
    </xf>
    <xf numFmtId="0" fontId="23" fillId="0" borderId="43" xfId="0" applyFont="1" applyBorder="1" applyAlignment="1">
      <alignment horizontal="center" vertical="center" shrinkToFit="1"/>
    </xf>
    <xf numFmtId="49" fontId="11" fillId="0" borderId="43" xfId="0" quotePrefix="1" applyNumberFormat="1" applyFont="1" applyBorder="1" applyAlignment="1">
      <alignment horizontal="center" vertical="center" shrinkToFit="1"/>
    </xf>
    <xf numFmtId="49" fontId="11" fillId="0" borderId="43" xfId="0" applyNumberFormat="1" applyFont="1" applyBorder="1" applyAlignment="1">
      <alignment horizontal="center" vertical="center" shrinkToFit="1"/>
    </xf>
    <xf numFmtId="0" fontId="12" fillId="0" borderId="43" xfId="0" applyFont="1" applyBorder="1" applyAlignment="1">
      <alignment horizontal="left" vertical="center" shrinkToFit="1"/>
    </xf>
    <xf numFmtId="0" fontId="21" fillId="0" borderId="37" xfId="0" applyFont="1" applyBorder="1" applyAlignment="1">
      <alignment horizontal="center" vertical="center" shrinkToFit="1"/>
    </xf>
    <xf numFmtId="0" fontId="23" fillId="0" borderId="42" xfId="2" applyFont="1" applyBorder="1" applyAlignment="1">
      <alignment vertical="center" shrinkToFit="1"/>
    </xf>
    <xf numFmtId="0" fontId="23" fillId="0" borderId="41" xfId="2" applyFont="1" applyBorder="1" applyAlignment="1">
      <alignment vertical="center" shrinkToFit="1"/>
    </xf>
    <xf numFmtId="0" fontId="23" fillId="0" borderId="45" xfId="2" applyFont="1" applyBorder="1" applyAlignment="1">
      <alignment vertical="center" shrinkToFit="1"/>
    </xf>
    <xf numFmtId="0" fontId="23" fillId="0" borderId="44" xfId="2" applyFont="1" applyBorder="1" applyAlignment="1">
      <alignment vertical="center" shrinkToFit="1"/>
    </xf>
    <xf numFmtId="0" fontId="23" fillId="0" borderId="40" xfId="2" applyFont="1" applyBorder="1" applyAlignment="1">
      <alignment vertical="center" shrinkToFit="1"/>
    </xf>
    <xf numFmtId="0" fontId="23" fillId="0" borderId="38" xfId="2" applyFont="1" applyBorder="1" applyAlignment="1">
      <alignment vertical="center" shrinkToFit="1"/>
    </xf>
    <xf numFmtId="0" fontId="26" fillId="0" borderId="0" xfId="2" applyFont="1" applyAlignment="1">
      <alignment horizontal="left" vertical="center" shrinkToFit="1"/>
    </xf>
    <xf numFmtId="0" fontId="62" fillId="21" borderId="0" xfId="0" applyFont="1" applyFill="1" applyAlignment="1"/>
    <xf numFmtId="0" fontId="0" fillId="0" borderId="0" xfId="0" applyAlignment="1"/>
    <xf numFmtId="0" fontId="63" fillId="0" borderId="0" xfId="0" applyFont="1" applyAlignment="1"/>
    <xf numFmtId="0" fontId="63" fillId="20" borderId="0" xfId="0" applyFont="1" applyFill="1">
      <alignment vertical="center"/>
    </xf>
  </cellXfs>
  <cellStyles count="4">
    <cellStyle name="桁区切り" xfId="1" builtinId="6"/>
    <cellStyle name="標準" xfId="0" builtinId="0"/>
    <cellStyle name="標準 2" xfId="2" xr:uid="{D61668C5-024E-4643-911A-0C74243842C3}"/>
    <cellStyle name="標準 3" xfId="3" xr:uid="{6F9865B1-8C3A-446F-9972-51A0308229CC}"/>
  </cellStyles>
  <dxfs count="34">
    <dxf>
      <numFmt numFmtId="0" formatCode="General"/>
    </dxf>
    <dxf>
      <numFmt numFmtId="0" formatCode="General"/>
    </dxf>
    <dxf>
      <font>
        <b/>
        <i val="0"/>
        <strike val="0"/>
        <condense val="0"/>
        <extend val="0"/>
        <outline val="0"/>
        <shadow val="0"/>
        <u val="none"/>
        <vertAlign val="baseline"/>
        <sz val="11"/>
        <color theme="1"/>
        <name val="游ゴシック"/>
        <family val="3"/>
        <charset val="128"/>
        <scheme val="minor"/>
      </font>
      <fill>
        <patternFill patternType="solid">
          <fgColor indexed="64"/>
          <bgColor rgb="FFDCE6F1"/>
        </patternFill>
      </fill>
    </dxf>
    <dxf>
      <numFmt numFmtId="0" formatCode="General"/>
    </dxf>
    <dxf>
      <numFmt numFmtId="0" formatCode="General"/>
    </dxf>
    <dxf>
      <numFmt numFmtId="0" formatCode="General"/>
    </dxf>
    <dxf>
      <numFmt numFmtId="0" formatCode="General"/>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outline="0">
        <right style="thin">
          <color theme="4" tint="0.39997558519241921"/>
        </right>
        <top style="thin">
          <color rgb="FFCCCCCC"/>
        </top>
        <bottom style="thin">
          <color theme="4" tint="0.39997558519241921"/>
        </bottom>
      </border>
    </dxf>
    <dxf>
      <border outline="0">
        <bottom style="thin">
          <color rgb="FFCCCCCC"/>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79" formatCode="yyyy/mm/dd\ hh:mm"/>
    </dxf>
    <dxf>
      <border outline="0">
        <top style="thin">
          <color rgb="FFA0A0A0"/>
        </top>
      </border>
    </dxf>
    <dxf>
      <border outline="0">
        <bottom style="thin">
          <color rgb="FFA0A0A0"/>
        </bottom>
      </border>
    </dxf>
    <dxf>
      <font>
        <b/>
        <i val="0"/>
        <strike val="0"/>
        <condense val="0"/>
        <extend val="0"/>
        <outline val="0"/>
        <shadow val="0"/>
        <u val="none"/>
        <vertAlign val="baseline"/>
        <sz val="11"/>
        <color theme="1"/>
        <name val="メイリオ"/>
        <family val="3"/>
        <charset val="128"/>
        <scheme val="none"/>
      </font>
      <fill>
        <patternFill patternType="solid">
          <fgColor indexed="64"/>
          <bgColor rgb="FFB4C6E7"/>
        </patternFill>
      </fill>
      <alignment horizontal="center" vertical="center" textRotation="0" wrapText="0" indent="0" justifyLastLine="0" shrinkToFit="0" readingOrder="0"/>
      <border diagonalUp="0" diagonalDown="0" outline="0">
        <left style="thin">
          <color rgb="FFA0A0A0"/>
        </left>
        <right style="thin">
          <color rgb="FFA0A0A0"/>
        </right>
        <top/>
        <bottom/>
      </border>
    </dxf>
    <dxf>
      <font>
        <b val="0"/>
        <i val="0"/>
        <strike val="0"/>
        <condense val="0"/>
        <extend val="0"/>
        <outline val="0"/>
        <shadow val="0"/>
        <u val="none"/>
        <vertAlign val="baseline"/>
        <sz val="11"/>
        <color theme="1"/>
        <name val="メイリオ"/>
        <family val="3"/>
        <charset val="128"/>
        <scheme val="none"/>
      </font>
      <fill>
        <patternFill patternType="solid">
          <fgColor indexed="64"/>
          <bgColor theme="0" tint="-4.9989318521683403E-2"/>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メイリオ"/>
        <family val="3"/>
        <charset val="128"/>
        <scheme val="none"/>
      </font>
      <fill>
        <patternFill patternType="solid">
          <fgColor indexed="64"/>
          <bgColor theme="0" tint="-4.9989318521683403E-2"/>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theme="1"/>
        <name val="メイリオ"/>
        <family val="3"/>
        <charset val="128"/>
        <scheme val="none"/>
      </font>
      <fill>
        <patternFill patternType="solid">
          <fgColor indexed="64"/>
          <bgColor theme="0" tint="-4.9989318521683403E-2"/>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メイリオ"/>
        <family val="3"/>
        <charset val="128"/>
        <scheme val="none"/>
      </font>
      <fill>
        <patternFill patternType="solid">
          <fgColor indexed="64"/>
          <bgColor rgb="FFF2F2F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メイリオ"/>
        <family val="3"/>
        <charset val="128"/>
        <scheme val="none"/>
      </font>
      <fill>
        <patternFill patternType="solid">
          <fgColor indexed="64"/>
          <bgColor rgb="FFF2F2F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fill>
        <patternFill patternType="solid">
          <fgColor indexed="64"/>
          <bgColor rgb="FFF2F2F2"/>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メイリオ"/>
        <family val="3"/>
        <charset val="128"/>
        <scheme val="none"/>
      </font>
      <fill>
        <patternFill patternType="solid">
          <fgColor indexed="64"/>
          <bgColor rgb="FF0070C0"/>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23/09/relationships/Python" Target="python.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F$3"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0</xdr:row>
          <xdr:rowOff>15240</xdr:rowOff>
        </xdr:from>
        <xdr:to>
          <xdr:col>1</xdr:col>
          <xdr:colOff>15240</xdr:colOff>
          <xdr:row>0</xdr:row>
          <xdr:rowOff>335280</xdr:rowOff>
        </xdr:to>
        <xdr:sp macro="" textlink="">
          <xdr:nvSpPr>
            <xdr:cNvPr id="26625" name="CommandButton1"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0</xdr:row>
          <xdr:rowOff>15240</xdr:rowOff>
        </xdr:from>
        <xdr:to>
          <xdr:col>1</xdr:col>
          <xdr:colOff>647700</xdr:colOff>
          <xdr:row>0</xdr:row>
          <xdr:rowOff>335280</xdr:rowOff>
        </xdr:to>
        <xdr:sp macro="" textlink="">
          <xdr:nvSpPr>
            <xdr:cNvPr id="26626" name="CommandButton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7</xdr:col>
      <xdr:colOff>312420</xdr:colOff>
      <xdr:row>1</xdr:row>
      <xdr:rowOff>68580</xdr:rowOff>
    </xdr:from>
    <xdr:to>
      <xdr:col>10</xdr:col>
      <xdr:colOff>175260</xdr:colOff>
      <xdr:row>14</xdr:row>
      <xdr:rowOff>182880</xdr:rowOff>
    </xdr:to>
    <xdr:sp macro="" textlink="">
      <xdr:nvSpPr>
        <xdr:cNvPr id="3" name="正方形/長方形 2">
          <a:extLst>
            <a:ext uri="{FF2B5EF4-FFF2-40B4-BE49-F238E27FC236}">
              <a16:creationId xmlns:a16="http://schemas.microsoft.com/office/drawing/2014/main" id="{28DC9739-7D9A-21DE-AC11-8A2D6D733C06}"/>
            </a:ext>
          </a:extLst>
        </xdr:cNvPr>
        <xdr:cNvSpPr/>
      </xdr:nvSpPr>
      <xdr:spPr>
        <a:xfrm>
          <a:off x="7741920" y="289560"/>
          <a:ext cx="1874520" cy="3040380"/>
        </a:xfrm>
        <a:prstGeom prst="rect">
          <a:avLst/>
        </a:prstGeom>
        <a:solidFill>
          <a:schemeClr val="tx1">
            <a:lumMod val="50000"/>
            <a:lumOff val="50000"/>
            <a:alpha val="74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xdr:from>
      <xdr:col>4</xdr:col>
      <xdr:colOff>68580</xdr:colOff>
      <xdr:row>1</xdr:row>
      <xdr:rowOff>15240</xdr:rowOff>
    </xdr:from>
    <xdr:to>
      <xdr:col>4</xdr:col>
      <xdr:colOff>861060</xdr:colOff>
      <xdr:row>3</xdr:row>
      <xdr:rowOff>15240</xdr:rowOff>
    </xdr:to>
    <xdr:sp macro="" textlink="">
      <xdr:nvSpPr>
        <xdr:cNvPr id="2" name="正方形/長方形 1">
          <a:extLst>
            <a:ext uri="{FF2B5EF4-FFF2-40B4-BE49-F238E27FC236}">
              <a16:creationId xmlns:a16="http://schemas.microsoft.com/office/drawing/2014/main" id="{F1FC2F08-B1E1-5C52-3BD6-4CAEE5927998}"/>
            </a:ext>
          </a:extLst>
        </xdr:cNvPr>
        <xdr:cNvSpPr/>
      </xdr:nvSpPr>
      <xdr:spPr>
        <a:xfrm>
          <a:off x="5158740" y="236220"/>
          <a:ext cx="792480" cy="495300"/>
        </a:xfrm>
        <a:prstGeom prst="rect">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kern="1200">
              <a:solidFill>
                <a:sysClr val="windowText" lastClr="000000"/>
              </a:solidFill>
              <a:latin typeface="メイリオ" panose="020B0604030504040204" pitchFamily="50" charset="-128"/>
              <a:ea typeface="メイリオ" panose="020B0604030504040204" pitchFamily="50" charset="-128"/>
            </a:rPr>
            <a:t>合算確認</a:t>
          </a:r>
        </a:p>
      </xdr:txBody>
    </xdr:sp>
    <xdr:clientData/>
  </xdr:twoCellAnchor>
  <mc:AlternateContent xmlns:mc="http://schemas.openxmlformats.org/markup-compatibility/2006">
    <mc:Choice xmlns:a14="http://schemas.microsoft.com/office/drawing/2010/main" Requires="a14">
      <xdr:twoCellAnchor editAs="absolute">
        <xdr:from>
          <xdr:col>7</xdr:col>
          <xdr:colOff>411480</xdr:colOff>
          <xdr:row>1</xdr:row>
          <xdr:rowOff>144780</xdr:rowOff>
        </xdr:from>
        <xdr:to>
          <xdr:col>10</xdr:col>
          <xdr:colOff>45720</xdr:colOff>
          <xdr:row>3</xdr:row>
          <xdr:rowOff>137160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200" b="1" i="0" u="none" strike="noStrike" baseline="0">
                  <a:solidFill>
                    <a:srgbClr val="000000"/>
                  </a:solidFill>
                  <a:latin typeface="メイリオ"/>
                  <a:ea typeface="メイリオ"/>
                </a:rPr>
                <a:t>一気に転写する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403860</xdr:colOff>
          <xdr:row>4</xdr:row>
          <xdr:rowOff>15240</xdr:rowOff>
        </xdr:from>
        <xdr:to>
          <xdr:col>10</xdr:col>
          <xdr:colOff>53340</xdr:colOff>
          <xdr:row>6</xdr:row>
          <xdr:rowOff>76200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200" b="1" i="0" u="none" strike="noStrike" baseline="0">
                  <a:solidFill>
                    <a:srgbClr val="000000"/>
                  </a:solidFill>
                  <a:latin typeface="メイリオ"/>
                  <a:ea typeface="メイリオ"/>
                </a:rPr>
                <a:t>製品無しを転写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335280</xdr:colOff>
          <xdr:row>1</xdr:row>
          <xdr:rowOff>259080</xdr:rowOff>
        </xdr:from>
        <xdr:to>
          <xdr:col>4</xdr:col>
          <xdr:colOff>586740</xdr:colOff>
          <xdr:row>3</xdr:row>
          <xdr:rowOff>22860</xdr:rowOff>
        </xdr:to>
        <xdr:sp macro="" textlink="">
          <xdr:nvSpPr>
            <xdr:cNvPr id="13326" name="Check Box 14" hidden="1">
              <a:extLst>
                <a:ext uri="{63B3BB69-23CF-44E3-9099-C40C66FF867C}">
                  <a14:compatExt spid="_x0000_s13326"/>
                </a:ext>
                <a:ext uri="{FF2B5EF4-FFF2-40B4-BE49-F238E27FC236}">
                  <a16:creationId xmlns:a16="http://schemas.microsoft.com/office/drawing/2014/main" id="{00000000-0008-0000-0300-00000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403860</xdr:colOff>
          <xdr:row>6</xdr:row>
          <xdr:rowOff>175260</xdr:rowOff>
        </xdr:from>
        <xdr:to>
          <xdr:col>10</xdr:col>
          <xdr:colOff>53340</xdr:colOff>
          <xdr:row>9</xdr:row>
          <xdr:rowOff>0</xdr:rowOff>
        </xdr:to>
        <xdr:sp macro="" textlink="">
          <xdr:nvSpPr>
            <xdr:cNvPr id="13327" name="Button 15" hidden="1">
              <a:extLst>
                <a:ext uri="{63B3BB69-23CF-44E3-9099-C40C66FF867C}">
                  <a14:compatExt spid="_x0000_s13327"/>
                </a:ext>
                <a:ext uri="{FF2B5EF4-FFF2-40B4-BE49-F238E27FC236}">
                  <a16:creationId xmlns:a16="http://schemas.microsoft.com/office/drawing/2014/main" id="{00000000-0008-0000-0300-00000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200" b="1" i="0" u="none" strike="noStrike" baseline="0">
                  <a:solidFill>
                    <a:srgbClr val="000000"/>
                  </a:solidFill>
                  <a:latin typeface="メイリオ"/>
                  <a:ea typeface="メイリオ"/>
                </a:rPr>
                <a:t>見積から取り込む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403860</xdr:colOff>
          <xdr:row>9</xdr:row>
          <xdr:rowOff>91440</xdr:rowOff>
        </xdr:from>
        <xdr:to>
          <xdr:col>10</xdr:col>
          <xdr:colOff>60960</xdr:colOff>
          <xdr:row>11</xdr:row>
          <xdr:rowOff>152400</xdr:rowOff>
        </xdr:to>
        <xdr:sp macro="" textlink="">
          <xdr:nvSpPr>
            <xdr:cNvPr id="13330" name="Button 18" hidden="1">
              <a:extLst>
                <a:ext uri="{63B3BB69-23CF-44E3-9099-C40C66FF867C}">
                  <a14:compatExt spid="_x0000_s13330"/>
                </a:ext>
                <a:ext uri="{FF2B5EF4-FFF2-40B4-BE49-F238E27FC236}">
                  <a16:creationId xmlns:a16="http://schemas.microsoft.com/office/drawing/2014/main" id="{00000000-0008-0000-0300-00001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200" b="1" i="0" u="none" strike="noStrike" baseline="0">
                  <a:solidFill>
                    <a:srgbClr val="000000"/>
                  </a:solidFill>
                  <a:latin typeface="メイリオ"/>
                  <a:ea typeface="メイリオ"/>
                </a:rPr>
                <a:t>班員データから取り込む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396240</xdr:colOff>
          <xdr:row>12</xdr:row>
          <xdr:rowOff>7620</xdr:rowOff>
        </xdr:from>
        <xdr:to>
          <xdr:col>10</xdr:col>
          <xdr:colOff>53340</xdr:colOff>
          <xdr:row>14</xdr:row>
          <xdr:rowOff>68580</xdr:rowOff>
        </xdr:to>
        <xdr:sp macro="" textlink="">
          <xdr:nvSpPr>
            <xdr:cNvPr id="13342" name="Button 30" hidden="1">
              <a:extLst>
                <a:ext uri="{63B3BB69-23CF-44E3-9099-C40C66FF867C}">
                  <a14:compatExt spid="_x0000_s13342"/>
                </a:ext>
                <a:ext uri="{FF2B5EF4-FFF2-40B4-BE49-F238E27FC236}">
                  <a16:creationId xmlns:a16="http://schemas.microsoft.com/office/drawing/2014/main" id="{00000000-0008-0000-0300-00001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200" b="1" i="0" u="none" strike="noStrike" baseline="0">
                  <a:solidFill>
                    <a:srgbClr val="000000"/>
                  </a:solidFill>
                  <a:latin typeface="メイリオ"/>
                  <a:ea typeface="メイリオ"/>
                </a:rPr>
                <a:t>入力の削除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86164</xdr:colOff>
      <xdr:row>5</xdr:row>
      <xdr:rowOff>53340</xdr:rowOff>
    </xdr:from>
    <xdr:to>
      <xdr:col>19</xdr:col>
      <xdr:colOff>228256</xdr:colOff>
      <xdr:row>6</xdr:row>
      <xdr:rowOff>133058</xdr:rowOff>
    </xdr:to>
    <xdr:sp macro="" textlink="">
      <xdr:nvSpPr>
        <xdr:cNvPr id="2" name="右矢印 1">
          <a:extLst>
            <a:ext uri="{FF2B5EF4-FFF2-40B4-BE49-F238E27FC236}">
              <a16:creationId xmlns:a16="http://schemas.microsoft.com/office/drawing/2014/main" id="{00000000-0008-0000-0200-000002000000}"/>
            </a:ext>
          </a:extLst>
        </xdr:cNvPr>
        <xdr:cNvSpPr/>
      </xdr:nvSpPr>
      <xdr:spPr>
        <a:xfrm>
          <a:off x="11401864" y="8788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86164</xdr:colOff>
      <xdr:row>77</xdr:row>
      <xdr:rowOff>60960</xdr:rowOff>
    </xdr:from>
    <xdr:to>
      <xdr:col>19</xdr:col>
      <xdr:colOff>228256</xdr:colOff>
      <xdr:row>78</xdr:row>
      <xdr:rowOff>140678</xdr:rowOff>
    </xdr:to>
    <xdr:sp macro="" textlink="">
      <xdr:nvSpPr>
        <xdr:cNvPr id="3" name="右矢印 2">
          <a:extLst>
            <a:ext uri="{FF2B5EF4-FFF2-40B4-BE49-F238E27FC236}">
              <a16:creationId xmlns:a16="http://schemas.microsoft.com/office/drawing/2014/main" id="{00000000-0008-0000-0200-000003000000}"/>
            </a:ext>
          </a:extLst>
        </xdr:cNvPr>
        <xdr:cNvSpPr/>
      </xdr:nvSpPr>
      <xdr:spPr>
        <a:xfrm>
          <a:off x="11401864" y="1277366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93784</xdr:colOff>
      <xdr:row>149</xdr:row>
      <xdr:rowOff>53340</xdr:rowOff>
    </xdr:from>
    <xdr:to>
      <xdr:col>19</xdr:col>
      <xdr:colOff>235876</xdr:colOff>
      <xdr:row>150</xdr:row>
      <xdr:rowOff>133058</xdr:rowOff>
    </xdr:to>
    <xdr:sp macro="" textlink="">
      <xdr:nvSpPr>
        <xdr:cNvPr id="4" name="右矢印 3">
          <a:extLst>
            <a:ext uri="{FF2B5EF4-FFF2-40B4-BE49-F238E27FC236}">
              <a16:creationId xmlns:a16="http://schemas.microsoft.com/office/drawing/2014/main" id="{00000000-0008-0000-0200-000004000000}"/>
            </a:ext>
          </a:extLst>
        </xdr:cNvPr>
        <xdr:cNvSpPr/>
      </xdr:nvSpPr>
      <xdr:spPr>
        <a:xfrm>
          <a:off x="11409484" y="246532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86164</xdr:colOff>
      <xdr:row>5</xdr:row>
      <xdr:rowOff>53340</xdr:rowOff>
    </xdr:from>
    <xdr:to>
      <xdr:col>19</xdr:col>
      <xdr:colOff>228256</xdr:colOff>
      <xdr:row>6</xdr:row>
      <xdr:rowOff>133058</xdr:rowOff>
    </xdr:to>
    <xdr:sp macro="" textlink="">
      <xdr:nvSpPr>
        <xdr:cNvPr id="5" name="右矢印 4">
          <a:extLst>
            <a:ext uri="{FF2B5EF4-FFF2-40B4-BE49-F238E27FC236}">
              <a16:creationId xmlns:a16="http://schemas.microsoft.com/office/drawing/2014/main" id="{00000000-0008-0000-0200-000005000000}"/>
            </a:ext>
          </a:extLst>
        </xdr:cNvPr>
        <xdr:cNvSpPr/>
      </xdr:nvSpPr>
      <xdr:spPr>
        <a:xfrm>
          <a:off x="11401864" y="8788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86164</xdr:colOff>
      <xdr:row>77</xdr:row>
      <xdr:rowOff>60960</xdr:rowOff>
    </xdr:from>
    <xdr:to>
      <xdr:col>19</xdr:col>
      <xdr:colOff>228256</xdr:colOff>
      <xdr:row>78</xdr:row>
      <xdr:rowOff>140678</xdr:rowOff>
    </xdr:to>
    <xdr:sp macro="" textlink="">
      <xdr:nvSpPr>
        <xdr:cNvPr id="6" name="右矢印 5">
          <a:extLst>
            <a:ext uri="{FF2B5EF4-FFF2-40B4-BE49-F238E27FC236}">
              <a16:creationId xmlns:a16="http://schemas.microsoft.com/office/drawing/2014/main" id="{00000000-0008-0000-0200-000006000000}"/>
            </a:ext>
          </a:extLst>
        </xdr:cNvPr>
        <xdr:cNvSpPr/>
      </xdr:nvSpPr>
      <xdr:spPr>
        <a:xfrm>
          <a:off x="11401864" y="1277366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93784</xdr:colOff>
      <xdr:row>149</xdr:row>
      <xdr:rowOff>53340</xdr:rowOff>
    </xdr:from>
    <xdr:to>
      <xdr:col>19</xdr:col>
      <xdr:colOff>235876</xdr:colOff>
      <xdr:row>150</xdr:row>
      <xdr:rowOff>133058</xdr:rowOff>
    </xdr:to>
    <xdr:sp macro="" textlink="">
      <xdr:nvSpPr>
        <xdr:cNvPr id="7" name="右矢印 6">
          <a:extLst>
            <a:ext uri="{FF2B5EF4-FFF2-40B4-BE49-F238E27FC236}">
              <a16:creationId xmlns:a16="http://schemas.microsoft.com/office/drawing/2014/main" id="{00000000-0008-0000-0200-000007000000}"/>
            </a:ext>
          </a:extLst>
        </xdr:cNvPr>
        <xdr:cNvSpPr/>
      </xdr:nvSpPr>
      <xdr:spPr>
        <a:xfrm>
          <a:off x="11409484" y="246532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86164</xdr:colOff>
      <xdr:row>5</xdr:row>
      <xdr:rowOff>53340</xdr:rowOff>
    </xdr:from>
    <xdr:to>
      <xdr:col>19</xdr:col>
      <xdr:colOff>228256</xdr:colOff>
      <xdr:row>6</xdr:row>
      <xdr:rowOff>133058</xdr:rowOff>
    </xdr:to>
    <xdr:sp macro="" textlink="">
      <xdr:nvSpPr>
        <xdr:cNvPr id="8" name="右矢印 1">
          <a:extLst>
            <a:ext uri="{FF2B5EF4-FFF2-40B4-BE49-F238E27FC236}">
              <a16:creationId xmlns:a16="http://schemas.microsoft.com/office/drawing/2014/main" id="{00000000-0008-0000-0200-000008000000}"/>
            </a:ext>
          </a:extLst>
        </xdr:cNvPr>
        <xdr:cNvSpPr/>
      </xdr:nvSpPr>
      <xdr:spPr>
        <a:xfrm>
          <a:off x="11401864" y="8788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86164</xdr:colOff>
      <xdr:row>77</xdr:row>
      <xdr:rowOff>60960</xdr:rowOff>
    </xdr:from>
    <xdr:to>
      <xdr:col>19</xdr:col>
      <xdr:colOff>228256</xdr:colOff>
      <xdr:row>78</xdr:row>
      <xdr:rowOff>140678</xdr:rowOff>
    </xdr:to>
    <xdr:sp macro="" textlink="">
      <xdr:nvSpPr>
        <xdr:cNvPr id="9" name="右矢印 2">
          <a:extLst>
            <a:ext uri="{FF2B5EF4-FFF2-40B4-BE49-F238E27FC236}">
              <a16:creationId xmlns:a16="http://schemas.microsoft.com/office/drawing/2014/main" id="{00000000-0008-0000-0200-000009000000}"/>
            </a:ext>
          </a:extLst>
        </xdr:cNvPr>
        <xdr:cNvSpPr/>
      </xdr:nvSpPr>
      <xdr:spPr>
        <a:xfrm>
          <a:off x="11401864" y="1277366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93784</xdr:colOff>
      <xdr:row>149</xdr:row>
      <xdr:rowOff>53340</xdr:rowOff>
    </xdr:from>
    <xdr:to>
      <xdr:col>19</xdr:col>
      <xdr:colOff>235876</xdr:colOff>
      <xdr:row>150</xdr:row>
      <xdr:rowOff>133058</xdr:rowOff>
    </xdr:to>
    <xdr:sp macro="" textlink="">
      <xdr:nvSpPr>
        <xdr:cNvPr id="10" name="右矢印 3">
          <a:extLst>
            <a:ext uri="{FF2B5EF4-FFF2-40B4-BE49-F238E27FC236}">
              <a16:creationId xmlns:a16="http://schemas.microsoft.com/office/drawing/2014/main" id="{00000000-0008-0000-0200-00000A000000}"/>
            </a:ext>
          </a:extLst>
        </xdr:cNvPr>
        <xdr:cNvSpPr/>
      </xdr:nvSpPr>
      <xdr:spPr>
        <a:xfrm>
          <a:off x="11409484" y="246532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86164</xdr:colOff>
      <xdr:row>5</xdr:row>
      <xdr:rowOff>53340</xdr:rowOff>
    </xdr:from>
    <xdr:to>
      <xdr:col>19</xdr:col>
      <xdr:colOff>228256</xdr:colOff>
      <xdr:row>6</xdr:row>
      <xdr:rowOff>133058</xdr:rowOff>
    </xdr:to>
    <xdr:sp macro="" textlink="">
      <xdr:nvSpPr>
        <xdr:cNvPr id="11" name="右矢印 4">
          <a:extLst>
            <a:ext uri="{FF2B5EF4-FFF2-40B4-BE49-F238E27FC236}">
              <a16:creationId xmlns:a16="http://schemas.microsoft.com/office/drawing/2014/main" id="{00000000-0008-0000-0200-00000B000000}"/>
            </a:ext>
          </a:extLst>
        </xdr:cNvPr>
        <xdr:cNvSpPr/>
      </xdr:nvSpPr>
      <xdr:spPr>
        <a:xfrm>
          <a:off x="11401864" y="8788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86164</xdr:colOff>
      <xdr:row>77</xdr:row>
      <xdr:rowOff>60960</xdr:rowOff>
    </xdr:from>
    <xdr:to>
      <xdr:col>19</xdr:col>
      <xdr:colOff>228256</xdr:colOff>
      <xdr:row>78</xdr:row>
      <xdr:rowOff>140678</xdr:rowOff>
    </xdr:to>
    <xdr:sp macro="" textlink="">
      <xdr:nvSpPr>
        <xdr:cNvPr id="12" name="右矢印 5">
          <a:extLst>
            <a:ext uri="{FF2B5EF4-FFF2-40B4-BE49-F238E27FC236}">
              <a16:creationId xmlns:a16="http://schemas.microsoft.com/office/drawing/2014/main" id="{00000000-0008-0000-0200-00000C000000}"/>
            </a:ext>
          </a:extLst>
        </xdr:cNvPr>
        <xdr:cNvSpPr/>
      </xdr:nvSpPr>
      <xdr:spPr>
        <a:xfrm>
          <a:off x="11401864" y="1277366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93784</xdr:colOff>
      <xdr:row>149</xdr:row>
      <xdr:rowOff>53340</xdr:rowOff>
    </xdr:from>
    <xdr:to>
      <xdr:col>19</xdr:col>
      <xdr:colOff>235876</xdr:colOff>
      <xdr:row>150</xdr:row>
      <xdr:rowOff>133058</xdr:rowOff>
    </xdr:to>
    <xdr:sp macro="" textlink="">
      <xdr:nvSpPr>
        <xdr:cNvPr id="13" name="右矢印 6">
          <a:extLst>
            <a:ext uri="{FF2B5EF4-FFF2-40B4-BE49-F238E27FC236}">
              <a16:creationId xmlns:a16="http://schemas.microsoft.com/office/drawing/2014/main" id="{00000000-0008-0000-0200-00000D000000}"/>
            </a:ext>
          </a:extLst>
        </xdr:cNvPr>
        <xdr:cNvSpPr/>
      </xdr:nvSpPr>
      <xdr:spPr>
        <a:xfrm>
          <a:off x="11409484" y="24653240"/>
          <a:ext cx="770742" cy="244818"/>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135626</xdr:colOff>
      <xdr:row>76</xdr:row>
      <xdr:rowOff>68722</xdr:rowOff>
    </xdr:from>
    <xdr:to>
      <xdr:col>15</xdr:col>
      <xdr:colOff>147147</xdr:colOff>
      <xdr:row>77</xdr:row>
      <xdr:rowOff>148966</xdr:rowOff>
    </xdr:to>
    <xdr:sp macro="" textlink="">
      <xdr:nvSpPr>
        <xdr:cNvPr id="2" name="右矢印 1">
          <a:extLst>
            <a:ext uri="{FF2B5EF4-FFF2-40B4-BE49-F238E27FC236}">
              <a16:creationId xmlns:a16="http://schemas.microsoft.com/office/drawing/2014/main" id="{00000000-0008-0000-0100-000002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3" name="右矢印 2">
          <a:extLst>
            <a:ext uri="{FF2B5EF4-FFF2-40B4-BE49-F238E27FC236}">
              <a16:creationId xmlns:a16="http://schemas.microsoft.com/office/drawing/2014/main" id="{00000000-0008-0000-0100-000003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4" name="右矢印 3">
          <a:extLst>
            <a:ext uri="{FF2B5EF4-FFF2-40B4-BE49-F238E27FC236}">
              <a16:creationId xmlns:a16="http://schemas.microsoft.com/office/drawing/2014/main" id="{00000000-0008-0000-0100-000004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5" name="右矢印 4">
          <a:extLst>
            <a:ext uri="{FF2B5EF4-FFF2-40B4-BE49-F238E27FC236}">
              <a16:creationId xmlns:a16="http://schemas.microsoft.com/office/drawing/2014/main" id="{00000000-0008-0000-0100-000005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6" name="右矢印 5">
          <a:extLst>
            <a:ext uri="{FF2B5EF4-FFF2-40B4-BE49-F238E27FC236}">
              <a16:creationId xmlns:a16="http://schemas.microsoft.com/office/drawing/2014/main" id="{00000000-0008-0000-0100-000006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7" name="右矢印 6">
          <a:extLst>
            <a:ext uri="{FF2B5EF4-FFF2-40B4-BE49-F238E27FC236}">
              <a16:creationId xmlns:a16="http://schemas.microsoft.com/office/drawing/2014/main" id="{00000000-0008-0000-0100-000007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8" name="右矢印 7">
          <a:extLst>
            <a:ext uri="{FF2B5EF4-FFF2-40B4-BE49-F238E27FC236}">
              <a16:creationId xmlns:a16="http://schemas.microsoft.com/office/drawing/2014/main" id="{00000000-0008-0000-0100-000008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9" name="右矢印 8">
          <a:extLst>
            <a:ext uri="{FF2B5EF4-FFF2-40B4-BE49-F238E27FC236}">
              <a16:creationId xmlns:a16="http://schemas.microsoft.com/office/drawing/2014/main" id="{00000000-0008-0000-0100-000009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10" name="右矢印 9">
          <a:extLst>
            <a:ext uri="{FF2B5EF4-FFF2-40B4-BE49-F238E27FC236}">
              <a16:creationId xmlns:a16="http://schemas.microsoft.com/office/drawing/2014/main" id="{00000000-0008-0000-0100-00000A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11" name="右矢印 10">
          <a:extLst>
            <a:ext uri="{FF2B5EF4-FFF2-40B4-BE49-F238E27FC236}">
              <a16:creationId xmlns:a16="http://schemas.microsoft.com/office/drawing/2014/main" id="{00000000-0008-0000-0100-00000B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12" name="右矢印 11">
          <a:extLst>
            <a:ext uri="{FF2B5EF4-FFF2-40B4-BE49-F238E27FC236}">
              <a16:creationId xmlns:a16="http://schemas.microsoft.com/office/drawing/2014/main" id="{00000000-0008-0000-0100-00000C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13" name="右矢印 12">
          <a:extLst>
            <a:ext uri="{FF2B5EF4-FFF2-40B4-BE49-F238E27FC236}">
              <a16:creationId xmlns:a16="http://schemas.microsoft.com/office/drawing/2014/main" id="{00000000-0008-0000-0100-00000D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4" name="右矢印 13">
          <a:extLst>
            <a:ext uri="{FF2B5EF4-FFF2-40B4-BE49-F238E27FC236}">
              <a16:creationId xmlns:a16="http://schemas.microsoft.com/office/drawing/2014/main" id="{00000000-0008-0000-0100-00000E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15" name="右矢印 14">
          <a:extLst>
            <a:ext uri="{FF2B5EF4-FFF2-40B4-BE49-F238E27FC236}">
              <a16:creationId xmlns:a16="http://schemas.microsoft.com/office/drawing/2014/main" id="{00000000-0008-0000-0100-00000F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6" name="右矢印 15">
          <a:extLst>
            <a:ext uri="{FF2B5EF4-FFF2-40B4-BE49-F238E27FC236}">
              <a16:creationId xmlns:a16="http://schemas.microsoft.com/office/drawing/2014/main" id="{00000000-0008-0000-0100-000010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17" name="右矢印 16">
          <a:extLst>
            <a:ext uri="{FF2B5EF4-FFF2-40B4-BE49-F238E27FC236}">
              <a16:creationId xmlns:a16="http://schemas.microsoft.com/office/drawing/2014/main" id="{00000000-0008-0000-0100-000011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8" name="右矢印 19">
          <a:extLst>
            <a:ext uri="{FF2B5EF4-FFF2-40B4-BE49-F238E27FC236}">
              <a16:creationId xmlns:a16="http://schemas.microsoft.com/office/drawing/2014/main" id="{00000000-0008-0000-0100-000012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9" name="右矢印 20">
          <a:extLst>
            <a:ext uri="{FF2B5EF4-FFF2-40B4-BE49-F238E27FC236}">
              <a16:creationId xmlns:a16="http://schemas.microsoft.com/office/drawing/2014/main" id="{00000000-0008-0000-0100-000013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20" name="右矢印 21">
          <a:extLst>
            <a:ext uri="{FF2B5EF4-FFF2-40B4-BE49-F238E27FC236}">
              <a16:creationId xmlns:a16="http://schemas.microsoft.com/office/drawing/2014/main" id="{00000000-0008-0000-0100-000014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21" name="右矢印 22">
          <a:extLst>
            <a:ext uri="{FF2B5EF4-FFF2-40B4-BE49-F238E27FC236}">
              <a16:creationId xmlns:a16="http://schemas.microsoft.com/office/drawing/2014/main" id="{00000000-0008-0000-0100-000015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22" name="右矢印 23">
          <a:extLst>
            <a:ext uri="{FF2B5EF4-FFF2-40B4-BE49-F238E27FC236}">
              <a16:creationId xmlns:a16="http://schemas.microsoft.com/office/drawing/2014/main" id="{00000000-0008-0000-0100-000016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23" name="右矢印 24">
          <a:extLst>
            <a:ext uri="{FF2B5EF4-FFF2-40B4-BE49-F238E27FC236}">
              <a16:creationId xmlns:a16="http://schemas.microsoft.com/office/drawing/2014/main" id="{00000000-0008-0000-0100-000017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24" name="右矢印 1">
          <a:extLst>
            <a:ext uri="{FF2B5EF4-FFF2-40B4-BE49-F238E27FC236}">
              <a16:creationId xmlns:a16="http://schemas.microsoft.com/office/drawing/2014/main" id="{00000000-0008-0000-0100-000018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25" name="右矢印 2">
          <a:extLst>
            <a:ext uri="{FF2B5EF4-FFF2-40B4-BE49-F238E27FC236}">
              <a16:creationId xmlns:a16="http://schemas.microsoft.com/office/drawing/2014/main" id="{00000000-0008-0000-0100-000019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26" name="右矢印 3">
          <a:extLst>
            <a:ext uri="{FF2B5EF4-FFF2-40B4-BE49-F238E27FC236}">
              <a16:creationId xmlns:a16="http://schemas.microsoft.com/office/drawing/2014/main" id="{00000000-0008-0000-0100-00001A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27" name="右矢印 4">
          <a:extLst>
            <a:ext uri="{FF2B5EF4-FFF2-40B4-BE49-F238E27FC236}">
              <a16:creationId xmlns:a16="http://schemas.microsoft.com/office/drawing/2014/main" id="{00000000-0008-0000-0100-00001B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28" name="右矢印 5">
          <a:extLst>
            <a:ext uri="{FF2B5EF4-FFF2-40B4-BE49-F238E27FC236}">
              <a16:creationId xmlns:a16="http://schemas.microsoft.com/office/drawing/2014/main" id="{00000000-0008-0000-0100-00001C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29" name="右矢印 6">
          <a:extLst>
            <a:ext uri="{FF2B5EF4-FFF2-40B4-BE49-F238E27FC236}">
              <a16:creationId xmlns:a16="http://schemas.microsoft.com/office/drawing/2014/main" id="{00000000-0008-0000-0100-00001D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30" name="右矢印 7">
          <a:extLst>
            <a:ext uri="{FF2B5EF4-FFF2-40B4-BE49-F238E27FC236}">
              <a16:creationId xmlns:a16="http://schemas.microsoft.com/office/drawing/2014/main" id="{00000000-0008-0000-0100-00001E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31" name="右矢印 8">
          <a:extLst>
            <a:ext uri="{FF2B5EF4-FFF2-40B4-BE49-F238E27FC236}">
              <a16:creationId xmlns:a16="http://schemas.microsoft.com/office/drawing/2014/main" id="{00000000-0008-0000-0100-00001F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32" name="右矢印 9">
          <a:extLst>
            <a:ext uri="{FF2B5EF4-FFF2-40B4-BE49-F238E27FC236}">
              <a16:creationId xmlns:a16="http://schemas.microsoft.com/office/drawing/2014/main" id="{00000000-0008-0000-0100-000020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33" name="右矢印 10">
          <a:extLst>
            <a:ext uri="{FF2B5EF4-FFF2-40B4-BE49-F238E27FC236}">
              <a16:creationId xmlns:a16="http://schemas.microsoft.com/office/drawing/2014/main" id="{00000000-0008-0000-0100-000021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34" name="右矢印 11">
          <a:extLst>
            <a:ext uri="{FF2B5EF4-FFF2-40B4-BE49-F238E27FC236}">
              <a16:creationId xmlns:a16="http://schemas.microsoft.com/office/drawing/2014/main" id="{00000000-0008-0000-0100-000022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35" name="右矢印 12">
          <a:extLst>
            <a:ext uri="{FF2B5EF4-FFF2-40B4-BE49-F238E27FC236}">
              <a16:creationId xmlns:a16="http://schemas.microsoft.com/office/drawing/2014/main" id="{00000000-0008-0000-0100-000023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36" name="右矢印 13">
          <a:extLst>
            <a:ext uri="{FF2B5EF4-FFF2-40B4-BE49-F238E27FC236}">
              <a16:creationId xmlns:a16="http://schemas.microsoft.com/office/drawing/2014/main" id="{00000000-0008-0000-0100-000024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37" name="右矢印 14">
          <a:extLst>
            <a:ext uri="{FF2B5EF4-FFF2-40B4-BE49-F238E27FC236}">
              <a16:creationId xmlns:a16="http://schemas.microsoft.com/office/drawing/2014/main" id="{00000000-0008-0000-0100-000025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38" name="右矢印 15">
          <a:extLst>
            <a:ext uri="{FF2B5EF4-FFF2-40B4-BE49-F238E27FC236}">
              <a16:creationId xmlns:a16="http://schemas.microsoft.com/office/drawing/2014/main" id="{00000000-0008-0000-0100-000026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39" name="右矢印 16">
          <a:extLst>
            <a:ext uri="{FF2B5EF4-FFF2-40B4-BE49-F238E27FC236}">
              <a16:creationId xmlns:a16="http://schemas.microsoft.com/office/drawing/2014/main" id="{00000000-0008-0000-0100-000027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40" name="右矢印 19">
          <a:extLst>
            <a:ext uri="{FF2B5EF4-FFF2-40B4-BE49-F238E27FC236}">
              <a16:creationId xmlns:a16="http://schemas.microsoft.com/office/drawing/2014/main" id="{00000000-0008-0000-0100-000028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41" name="右矢印 20">
          <a:extLst>
            <a:ext uri="{FF2B5EF4-FFF2-40B4-BE49-F238E27FC236}">
              <a16:creationId xmlns:a16="http://schemas.microsoft.com/office/drawing/2014/main" id="{00000000-0008-0000-0100-000029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42" name="右矢印 21">
          <a:extLst>
            <a:ext uri="{FF2B5EF4-FFF2-40B4-BE49-F238E27FC236}">
              <a16:creationId xmlns:a16="http://schemas.microsoft.com/office/drawing/2014/main" id="{00000000-0008-0000-0100-00002A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43" name="右矢印 22">
          <a:extLst>
            <a:ext uri="{FF2B5EF4-FFF2-40B4-BE49-F238E27FC236}">
              <a16:creationId xmlns:a16="http://schemas.microsoft.com/office/drawing/2014/main" id="{00000000-0008-0000-0100-00002B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44" name="右矢印 23">
          <a:extLst>
            <a:ext uri="{FF2B5EF4-FFF2-40B4-BE49-F238E27FC236}">
              <a16:creationId xmlns:a16="http://schemas.microsoft.com/office/drawing/2014/main" id="{00000000-0008-0000-0100-00002C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45" name="右矢印 24">
          <a:extLst>
            <a:ext uri="{FF2B5EF4-FFF2-40B4-BE49-F238E27FC236}">
              <a16:creationId xmlns:a16="http://schemas.microsoft.com/office/drawing/2014/main" id="{00000000-0008-0000-0100-00002D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46" name="右矢印 5">
          <a:extLst>
            <a:ext uri="{FF2B5EF4-FFF2-40B4-BE49-F238E27FC236}">
              <a16:creationId xmlns:a16="http://schemas.microsoft.com/office/drawing/2014/main" id="{00000000-0008-0000-0100-00002E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47" name="右矢印 6">
          <a:extLst>
            <a:ext uri="{FF2B5EF4-FFF2-40B4-BE49-F238E27FC236}">
              <a16:creationId xmlns:a16="http://schemas.microsoft.com/office/drawing/2014/main" id="{00000000-0008-0000-0100-00002F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48" name="右矢印 13">
          <a:extLst>
            <a:ext uri="{FF2B5EF4-FFF2-40B4-BE49-F238E27FC236}">
              <a16:creationId xmlns:a16="http://schemas.microsoft.com/office/drawing/2014/main" id="{00000000-0008-0000-0100-000030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49" name="右矢印 14">
          <a:extLst>
            <a:ext uri="{FF2B5EF4-FFF2-40B4-BE49-F238E27FC236}">
              <a16:creationId xmlns:a16="http://schemas.microsoft.com/office/drawing/2014/main" id="{00000000-0008-0000-0100-000031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0" name="右矢印 19">
          <a:extLst>
            <a:ext uri="{FF2B5EF4-FFF2-40B4-BE49-F238E27FC236}">
              <a16:creationId xmlns:a16="http://schemas.microsoft.com/office/drawing/2014/main" id="{00000000-0008-0000-0100-000032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1" name="右矢印 20">
          <a:extLst>
            <a:ext uri="{FF2B5EF4-FFF2-40B4-BE49-F238E27FC236}">
              <a16:creationId xmlns:a16="http://schemas.microsoft.com/office/drawing/2014/main" id="{00000000-0008-0000-0100-000033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2" name="右矢印 21">
          <a:extLst>
            <a:ext uri="{FF2B5EF4-FFF2-40B4-BE49-F238E27FC236}">
              <a16:creationId xmlns:a16="http://schemas.microsoft.com/office/drawing/2014/main" id="{00000000-0008-0000-0100-000034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3" name="右矢印 22">
          <a:extLst>
            <a:ext uri="{FF2B5EF4-FFF2-40B4-BE49-F238E27FC236}">
              <a16:creationId xmlns:a16="http://schemas.microsoft.com/office/drawing/2014/main" id="{00000000-0008-0000-0100-000035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4" name="右矢印 5">
          <a:extLst>
            <a:ext uri="{FF2B5EF4-FFF2-40B4-BE49-F238E27FC236}">
              <a16:creationId xmlns:a16="http://schemas.microsoft.com/office/drawing/2014/main" id="{00000000-0008-0000-0100-000036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55" name="右矢印 6">
          <a:extLst>
            <a:ext uri="{FF2B5EF4-FFF2-40B4-BE49-F238E27FC236}">
              <a16:creationId xmlns:a16="http://schemas.microsoft.com/office/drawing/2014/main" id="{00000000-0008-0000-0100-000037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6" name="右矢印 13">
          <a:extLst>
            <a:ext uri="{FF2B5EF4-FFF2-40B4-BE49-F238E27FC236}">
              <a16:creationId xmlns:a16="http://schemas.microsoft.com/office/drawing/2014/main" id="{00000000-0008-0000-0100-000038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57" name="右矢印 14">
          <a:extLst>
            <a:ext uri="{FF2B5EF4-FFF2-40B4-BE49-F238E27FC236}">
              <a16:creationId xmlns:a16="http://schemas.microsoft.com/office/drawing/2014/main" id="{00000000-0008-0000-0100-000039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8" name="右矢印 19">
          <a:extLst>
            <a:ext uri="{FF2B5EF4-FFF2-40B4-BE49-F238E27FC236}">
              <a16:creationId xmlns:a16="http://schemas.microsoft.com/office/drawing/2014/main" id="{00000000-0008-0000-0100-00003A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59" name="右矢印 20">
          <a:extLst>
            <a:ext uri="{FF2B5EF4-FFF2-40B4-BE49-F238E27FC236}">
              <a16:creationId xmlns:a16="http://schemas.microsoft.com/office/drawing/2014/main" id="{00000000-0008-0000-0100-00003B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60" name="右矢印 21">
          <a:extLst>
            <a:ext uri="{FF2B5EF4-FFF2-40B4-BE49-F238E27FC236}">
              <a16:creationId xmlns:a16="http://schemas.microsoft.com/office/drawing/2014/main" id="{00000000-0008-0000-0100-00003C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61" name="右矢印 22">
          <a:extLst>
            <a:ext uri="{FF2B5EF4-FFF2-40B4-BE49-F238E27FC236}">
              <a16:creationId xmlns:a16="http://schemas.microsoft.com/office/drawing/2014/main" id="{00000000-0008-0000-0100-00003D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62" name="右矢印 1">
          <a:extLst>
            <a:ext uri="{FF2B5EF4-FFF2-40B4-BE49-F238E27FC236}">
              <a16:creationId xmlns:a16="http://schemas.microsoft.com/office/drawing/2014/main" id="{00000000-0008-0000-0100-00003E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63" name="右矢印 2">
          <a:extLst>
            <a:ext uri="{FF2B5EF4-FFF2-40B4-BE49-F238E27FC236}">
              <a16:creationId xmlns:a16="http://schemas.microsoft.com/office/drawing/2014/main" id="{00000000-0008-0000-0100-00003F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64" name="右矢印 3">
          <a:extLst>
            <a:ext uri="{FF2B5EF4-FFF2-40B4-BE49-F238E27FC236}">
              <a16:creationId xmlns:a16="http://schemas.microsoft.com/office/drawing/2014/main" id="{00000000-0008-0000-0100-000040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65" name="右矢印 4">
          <a:extLst>
            <a:ext uri="{FF2B5EF4-FFF2-40B4-BE49-F238E27FC236}">
              <a16:creationId xmlns:a16="http://schemas.microsoft.com/office/drawing/2014/main" id="{00000000-0008-0000-0100-000041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66" name="右矢印 5">
          <a:extLst>
            <a:ext uri="{FF2B5EF4-FFF2-40B4-BE49-F238E27FC236}">
              <a16:creationId xmlns:a16="http://schemas.microsoft.com/office/drawing/2014/main" id="{00000000-0008-0000-0100-000042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67" name="右矢印 6">
          <a:extLst>
            <a:ext uri="{FF2B5EF4-FFF2-40B4-BE49-F238E27FC236}">
              <a16:creationId xmlns:a16="http://schemas.microsoft.com/office/drawing/2014/main" id="{00000000-0008-0000-0100-000043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68" name="右矢印 7">
          <a:extLst>
            <a:ext uri="{FF2B5EF4-FFF2-40B4-BE49-F238E27FC236}">
              <a16:creationId xmlns:a16="http://schemas.microsoft.com/office/drawing/2014/main" id="{00000000-0008-0000-0100-000044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69" name="右矢印 8">
          <a:extLst>
            <a:ext uri="{FF2B5EF4-FFF2-40B4-BE49-F238E27FC236}">
              <a16:creationId xmlns:a16="http://schemas.microsoft.com/office/drawing/2014/main" id="{00000000-0008-0000-0100-000045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70" name="右矢印 9">
          <a:extLst>
            <a:ext uri="{FF2B5EF4-FFF2-40B4-BE49-F238E27FC236}">
              <a16:creationId xmlns:a16="http://schemas.microsoft.com/office/drawing/2014/main" id="{00000000-0008-0000-0100-000046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71" name="右矢印 10">
          <a:extLst>
            <a:ext uri="{FF2B5EF4-FFF2-40B4-BE49-F238E27FC236}">
              <a16:creationId xmlns:a16="http://schemas.microsoft.com/office/drawing/2014/main" id="{00000000-0008-0000-0100-000047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72" name="右矢印 11">
          <a:extLst>
            <a:ext uri="{FF2B5EF4-FFF2-40B4-BE49-F238E27FC236}">
              <a16:creationId xmlns:a16="http://schemas.microsoft.com/office/drawing/2014/main" id="{00000000-0008-0000-0100-000048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73" name="右矢印 12">
          <a:extLst>
            <a:ext uri="{FF2B5EF4-FFF2-40B4-BE49-F238E27FC236}">
              <a16:creationId xmlns:a16="http://schemas.microsoft.com/office/drawing/2014/main" id="{00000000-0008-0000-0100-000049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74" name="右矢印 13">
          <a:extLst>
            <a:ext uri="{FF2B5EF4-FFF2-40B4-BE49-F238E27FC236}">
              <a16:creationId xmlns:a16="http://schemas.microsoft.com/office/drawing/2014/main" id="{00000000-0008-0000-0100-00004A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75" name="右矢印 14">
          <a:extLst>
            <a:ext uri="{FF2B5EF4-FFF2-40B4-BE49-F238E27FC236}">
              <a16:creationId xmlns:a16="http://schemas.microsoft.com/office/drawing/2014/main" id="{00000000-0008-0000-0100-00004B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76" name="右矢印 15">
          <a:extLst>
            <a:ext uri="{FF2B5EF4-FFF2-40B4-BE49-F238E27FC236}">
              <a16:creationId xmlns:a16="http://schemas.microsoft.com/office/drawing/2014/main" id="{00000000-0008-0000-0100-00004C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77" name="右矢印 16">
          <a:extLst>
            <a:ext uri="{FF2B5EF4-FFF2-40B4-BE49-F238E27FC236}">
              <a16:creationId xmlns:a16="http://schemas.microsoft.com/office/drawing/2014/main" id="{00000000-0008-0000-0100-00004D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78" name="右矢印 19">
          <a:extLst>
            <a:ext uri="{FF2B5EF4-FFF2-40B4-BE49-F238E27FC236}">
              <a16:creationId xmlns:a16="http://schemas.microsoft.com/office/drawing/2014/main" id="{00000000-0008-0000-0100-00004E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79" name="右矢印 20">
          <a:extLst>
            <a:ext uri="{FF2B5EF4-FFF2-40B4-BE49-F238E27FC236}">
              <a16:creationId xmlns:a16="http://schemas.microsoft.com/office/drawing/2014/main" id="{00000000-0008-0000-0100-00004F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80" name="右矢印 21">
          <a:extLst>
            <a:ext uri="{FF2B5EF4-FFF2-40B4-BE49-F238E27FC236}">
              <a16:creationId xmlns:a16="http://schemas.microsoft.com/office/drawing/2014/main" id="{00000000-0008-0000-0100-000050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81" name="右矢印 22">
          <a:extLst>
            <a:ext uri="{FF2B5EF4-FFF2-40B4-BE49-F238E27FC236}">
              <a16:creationId xmlns:a16="http://schemas.microsoft.com/office/drawing/2014/main" id="{00000000-0008-0000-0100-000051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82" name="右矢印 23">
          <a:extLst>
            <a:ext uri="{FF2B5EF4-FFF2-40B4-BE49-F238E27FC236}">
              <a16:creationId xmlns:a16="http://schemas.microsoft.com/office/drawing/2014/main" id="{00000000-0008-0000-0100-000052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83" name="右矢印 24">
          <a:extLst>
            <a:ext uri="{FF2B5EF4-FFF2-40B4-BE49-F238E27FC236}">
              <a16:creationId xmlns:a16="http://schemas.microsoft.com/office/drawing/2014/main" id="{00000000-0008-0000-0100-000053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84" name="右矢印 1">
          <a:extLst>
            <a:ext uri="{FF2B5EF4-FFF2-40B4-BE49-F238E27FC236}">
              <a16:creationId xmlns:a16="http://schemas.microsoft.com/office/drawing/2014/main" id="{00000000-0008-0000-0100-000054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85" name="右矢印 2">
          <a:extLst>
            <a:ext uri="{FF2B5EF4-FFF2-40B4-BE49-F238E27FC236}">
              <a16:creationId xmlns:a16="http://schemas.microsoft.com/office/drawing/2014/main" id="{00000000-0008-0000-0100-000055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86" name="右矢印 3">
          <a:extLst>
            <a:ext uri="{FF2B5EF4-FFF2-40B4-BE49-F238E27FC236}">
              <a16:creationId xmlns:a16="http://schemas.microsoft.com/office/drawing/2014/main" id="{00000000-0008-0000-0100-000056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87" name="右矢印 4">
          <a:extLst>
            <a:ext uri="{FF2B5EF4-FFF2-40B4-BE49-F238E27FC236}">
              <a16:creationId xmlns:a16="http://schemas.microsoft.com/office/drawing/2014/main" id="{00000000-0008-0000-0100-000057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88" name="右矢印 5">
          <a:extLst>
            <a:ext uri="{FF2B5EF4-FFF2-40B4-BE49-F238E27FC236}">
              <a16:creationId xmlns:a16="http://schemas.microsoft.com/office/drawing/2014/main" id="{00000000-0008-0000-0100-000058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89" name="右矢印 6">
          <a:extLst>
            <a:ext uri="{FF2B5EF4-FFF2-40B4-BE49-F238E27FC236}">
              <a16:creationId xmlns:a16="http://schemas.microsoft.com/office/drawing/2014/main" id="{00000000-0008-0000-0100-000059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90" name="右矢印 7">
          <a:extLst>
            <a:ext uri="{FF2B5EF4-FFF2-40B4-BE49-F238E27FC236}">
              <a16:creationId xmlns:a16="http://schemas.microsoft.com/office/drawing/2014/main" id="{00000000-0008-0000-0100-00005A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91" name="右矢印 8">
          <a:extLst>
            <a:ext uri="{FF2B5EF4-FFF2-40B4-BE49-F238E27FC236}">
              <a16:creationId xmlns:a16="http://schemas.microsoft.com/office/drawing/2014/main" id="{00000000-0008-0000-0100-00005B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92" name="右矢印 9">
          <a:extLst>
            <a:ext uri="{FF2B5EF4-FFF2-40B4-BE49-F238E27FC236}">
              <a16:creationId xmlns:a16="http://schemas.microsoft.com/office/drawing/2014/main" id="{00000000-0008-0000-0100-00005C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93" name="右矢印 10">
          <a:extLst>
            <a:ext uri="{FF2B5EF4-FFF2-40B4-BE49-F238E27FC236}">
              <a16:creationId xmlns:a16="http://schemas.microsoft.com/office/drawing/2014/main" id="{00000000-0008-0000-0100-00005D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94" name="右矢印 11">
          <a:extLst>
            <a:ext uri="{FF2B5EF4-FFF2-40B4-BE49-F238E27FC236}">
              <a16:creationId xmlns:a16="http://schemas.microsoft.com/office/drawing/2014/main" id="{00000000-0008-0000-0100-00005E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95" name="右矢印 12">
          <a:extLst>
            <a:ext uri="{FF2B5EF4-FFF2-40B4-BE49-F238E27FC236}">
              <a16:creationId xmlns:a16="http://schemas.microsoft.com/office/drawing/2014/main" id="{00000000-0008-0000-0100-00005F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96" name="右矢印 13">
          <a:extLst>
            <a:ext uri="{FF2B5EF4-FFF2-40B4-BE49-F238E27FC236}">
              <a16:creationId xmlns:a16="http://schemas.microsoft.com/office/drawing/2014/main" id="{00000000-0008-0000-0100-000060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97" name="右矢印 14">
          <a:extLst>
            <a:ext uri="{FF2B5EF4-FFF2-40B4-BE49-F238E27FC236}">
              <a16:creationId xmlns:a16="http://schemas.microsoft.com/office/drawing/2014/main" id="{00000000-0008-0000-0100-000061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98" name="右矢印 15">
          <a:extLst>
            <a:ext uri="{FF2B5EF4-FFF2-40B4-BE49-F238E27FC236}">
              <a16:creationId xmlns:a16="http://schemas.microsoft.com/office/drawing/2014/main" id="{00000000-0008-0000-0100-000062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99" name="右矢印 16">
          <a:extLst>
            <a:ext uri="{FF2B5EF4-FFF2-40B4-BE49-F238E27FC236}">
              <a16:creationId xmlns:a16="http://schemas.microsoft.com/office/drawing/2014/main" id="{00000000-0008-0000-0100-000063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00" name="右矢印 19">
          <a:extLst>
            <a:ext uri="{FF2B5EF4-FFF2-40B4-BE49-F238E27FC236}">
              <a16:creationId xmlns:a16="http://schemas.microsoft.com/office/drawing/2014/main" id="{00000000-0008-0000-0100-000064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01" name="右矢印 20">
          <a:extLst>
            <a:ext uri="{FF2B5EF4-FFF2-40B4-BE49-F238E27FC236}">
              <a16:creationId xmlns:a16="http://schemas.microsoft.com/office/drawing/2014/main" id="{00000000-0008-0000-0100-000065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02" name="右矢印 21">
          <a:extLst>
            <a:ext uri="{FF2B5EF4-FFF2-40B4-BE49-F238E27FC236}">
              <a16:creationId xmlns:a16="http://schemas.microsoft.com/office/drawing/2014/main" id="{00000000-0008-0000-0100-000066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03" name="右矢印 22">
          <a:extLst>
            <a:ext uri="{FF2B5EF4-FFF2-40B4-BE49-F238E27FC236}">
              <a16:creationId xmlns:a16="http://schemas.microsoft.com/office/drawing/2014/main" id="{00000000-0008-0000-0100-000067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04" name="右矢印 23">
          <a:extLst>
            <a:ext uri="{FF2B5EF4-FFF2-40B4-BE49-F238E27FC236}">
              <a16:creationId xmlns:a16="http://schemas.microsoft.com/office/drawing/2014/main" id="{00000000-0008-0000-0100-000068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05" name="右矢印 24">
          <a:extLst>
            <a:ext uri="{FF2B5EF4-FFF2-40B4-BE49-F238E27FC236}">
              <a16:creationId xmlns:a16="http://schemas.microsoft.com/office/drawing/2014/main" id="{00000000-0008-0000-0100-000069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06" name="右矢印 5">
          <a:extLst>
            <a:ext uri="{FF2B5EF4-FFF2-40B4-BE49-F238E27FC236}">
              <a16:creationId xmlns:a16="http://schemas.microsoft.com/office/drawing/2014/main" id="{00000000-0008-0000-0100-00006A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07" name="右矢印 6">
          <a:extLst>
            <a:ext uri="{FF2B5EF4-FFF2-40B4-BE49-F238E27FC236}">
              <a16:creationId xmlns:a16="http://schemas.microsoft.com/office/drawing/2014/main" id="{00000000-0008-0000-0100-00006B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08" name="右矢印 13">
          <a:extLst>
            <a:ext uri="{FF2B5EF4-FFF2-40B4-BE49-F238E27FC236}">
              <a16:creationId xmlns:a16="http://schemas.microsoft.com/office/drawing/2014/main" id="{00000000-0008-0000-0100-00006C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09" name="右矢印 14">
          <a:extLst>
            <a:ext uri="{FF2B5EF4-FFF2-40B4-BE49-F238E27FC236}">
              <a16:creationId xmlns:a16="http://schemas.microsoft.com/office/drawing/2014/main" id="{00000000-0008-0000-0100-00006D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0" name="右矢印 19">
          <a:extLst>
            <a:ext uri="{FF2B5EF4-FFF2-40B4-BE49-F238E27FC236}">
              <a16:creationId xmlns:a16="http://schemas.microsoft.com/office/drawing/2014/main" id="{00000000-0008-0000-0100-00006E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1" name="右矢印 20">
          <a:extLst>
            <a:ext uri="{FF2B5EF4-FFF2-40B4-BE49-F238E27FC236}">
              <a16:creationId xmlns:a16="http://schemas.microsoft.com/office/drawing/2014/main" id="{00000000-0008-0000-0100-00006F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2" name="右矢印 21">
          <a:extLst>
            <a:ext uri="{FF2B5EF4-FFF2-40B4-BE49-F238E27FC236}">
              <a16:creationId xmlns:a16="http://schemas.microsoft.com/office/drawing/2014/main" id="{00000000-0008-0000-0100-000070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3" name="右矢印 22">
          <a:extLst>
            <a:ext uri="{FF2B5EF4-FFF2-40B4-BE49-F238E27FC236}">
              <a16:creationId xmlns:a16="http://schemas.microsoft.com/office/drawing/2014/main" id="{00000000-0008-0000-0100-000071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4" name="右矢印 5">
          <a:extLst>
            <a:ext uri="{FF2B5EF4-FFF2-40B4-BE49-F238E27FC236}">
              <a16:creationId xmlns:a16="http://schemas.microsoft.com/office/drawing/2014/main" id="{00000000-0008-0000-0100-000072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15" name="右矢印 6">
          <a:extLst>
            <a:ext uri="{FF2B5EF4-FFF2-40B4-BE49-F238E27FC236}">
              <a16:creationId xmlns:a16="http://schemas.microsoft.com/office/drawing/2014/main" id="{00000000-0008-0000-0100-000073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6" name="右矢印 13">
          <a:extLst>
            <a:ext uri="{FF2B5EF4-FFF2-40B4-BE49-F238E27FC236}">
              <a16:creationId xmlns:a16="http://schemas.microsoft.com/office/drawing/2014/main" id="{00000000-0008-0000-0100-000074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17" name="右矢印 14">
          <a:extLst>
            <a:ext uri="{FF2B5EF4-FFF2-40B4-BE49-F238E27FC236}">
              <a16:creationId xmlns:a16="http://schemas.microsoft.com/office/drawing/2014/main" id="{00000000-0008-0000-0100-000075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8" name="右矢印 19">
          <a:extLst>
            <a:ext uri="{FF2B5EF4-FFF2-40B4-BE49-F238E27FC236}">
              <a16:creationId xmlns:a16="http://schemas.microsoft.com/office/drawing/2014/main" id="{00000000-0008-0000-0100-000076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19" name="右矢印 20">
          <a:extLst>
            <a:ext uri="{FF2B5EF4-FFF2-40B4-BE49-F238E27FC236}">
              <a16:creationId xmlns:a16="http://schemas.microsoft.com/office/drawing/2014/main" id="{00000000-0008-0000-0100-000077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20" name="右矢印 21">
          <a:extLst>
            <a:ext uri="{FF2B5EF4-FFF2-40B4-BE49-F238E27FC236}">
              <a16:creationId xmlns:a16="http://schemas.microsoft.com/office/drawing/2014/main" id="{00000000-0008-0000-0100-000078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21" name="右矢印 22">
          <a:extLst>
            <a:ext uri="{FF2B5EF4-FFF2-40B4-BE49-F238E27FC236}">
              <a16:creationId xmlns:a16="http://schemas.microsoft.com/office/drawing/2014/main" id="{00000000-0008-0000-0100-000079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122" name="右矢印 1">
          <a:extLst>
            <a:ext uri="{FF2B5EF4-FFF2-40B4-BE49-F238E27FC236}">
              <a16:creationId xmlns:a16="http://schemas.microsoft.com/office/drawing/2014/main" id="{00000000-0008-0000-0100-00007A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123" name="右矢印 2">
          <a:extLst>
            <a:ext uri="{FF2B5EF4-FFF2-40B4-BE49-F238E27FC236}">
              <a16:creationId xmlns:a16="http://schemas.microsoft.com/office/drawing/2014/main" id="{00000000-0008-0000-0100-00007B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124" name="右矢印 3">
          <a:extLst>
            <a:ext uri="{FF2B5EF4-FFF2-40B4-BE49-F238E27FC236}">
              <a16:creationId xmlns:a16="http://schemas.microsoft.com/office/drawing/2014/main" id="{00000000-0008-0000-0100-00007C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125" name="右矢印 4">
          <a:extLst>
            <a:ext uri="{FF2B5EF4-FFF2-40B4-BE49-F238E27FC236}">
              <a16:creationId xmlns:a16="http://schemas.microsoft.com/office/drawing/2014/main" id="{00000000-0008-0000-0100-00007D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26" name="右矢印 5">
          <a:extLst>
            <a:ext uri="{FF2B5EF4-FFF2-40B4-BE49-F238E27FC236}">
              <a16:creationId xmlns:a16="http://schemas.microsoft.com/office/drawing/2014/main" id="{00000000-0008-0000-0100-00007E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127" name="右矢印 6">
          <a:extLst>
            <a:ext uri="{FF2B5EF4-FFF2-40B4-BE49-F238E27FC236}">
              <a16:creationId xmlns:a16="http://schemas.microsoft.com/office/drawing/2014/main" id="{00000000-0008-0000-0100-00007F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28" name="右矢印 7">
          <a:extLst>
            <a:ext uri="{FF2B5EF4-FFF2-40B4-BE49-F238E27FC236}">
              <a16:creationId xmlns:a16="http://schemas.microsoft.com/office/drawing/2014/main" id="{00000000-0008-0000-0100-000080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129" name="右矢印 8">
          <a:extLst>
            <a:ext uri="{FF2B5EF4-FFF2-40B4-BE49-F238E27FC236}">
              <a16:creationId xmlns:a16="http://schemas.microsoft.com/office/drawing/2014/main" id="{00000000-0008-0000-0100-000081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130" name="右矢印 9">
          <a:extLst>
            <a:ext uri="{FF2B5EF4-FFF2-40B4-BE49-F238E27FC236}">
              <a16:creationId xmlns:a16="http://schemas.microsoft.com/office/drawing/2014/main" id="{00000000-0008-0000-0100-000082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131" name="右矢印 10">
          <a:extLst>
            <a:ext uri="{FF2B5EF4-FFF2-40B4-BE49-F238E27FC236}">
              <a16:creationId xmlns:a16="http://schemas.microsoft.com/office/drawing/2014/main" id="{00000000-0008-0000-0100-000083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132" name="右矢印 11">
          <a:extLst>
            <a:ext uri="{FF2B5EF4-FFF2-40B4-BE49-F238E27FC236}">
              <a16:creationId xmlns:a16="http://schemas.microsoft.com/office/drawing/2014/main" id="{00000000-0008-0000-0100-000084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133" name="右矢印 12">
          <a:extLst>
            <a:ext uri="{FF2B5EF4-FFF2-40B4-BE49-F238E27FC236}">
              <a16:creationId xmlns:a16="http://schemas.microsoft.com/office/drawing/2014/main" id="{00000000-0008-0000-0100-000085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34" name="右矢印 13">
          <a:extLst>
            <a:ext uri="{FF2B5EF4-FFF2-40B4-BE49-F238E27FC236}">
              <a16:creationId xmlns:a16="http://schemas.microsoft.com/office/drawing/2014/main" id="{00000000-0008-0000-0100-000086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135" name="右矢印 14">
          <a:extLst>
            <a:ext uri="{FF2B5EF4-FFF2-40B4-BE49-F238E27FC236}">
              <a16:creationId xmlns:a16="http://schemas.microsoft.com/office/drawing/2014/main" id="{00000000-0008-0000-0100-000087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36" name="右矢印 15">
          <a:extLst>
            <a:ext uri="{FF2B5EF4-FFF2-40B4-BE49-F238E27FC236}">
              <a16:creationId xmlns:a16="http://schemas.microsoft.com/office/drawing/2014/main" id="{00000000-0008-0000-0100-000088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137" name="右矢印 16">
          <a:extLst>
            <a:ext uri="{FF2B5EF4-FFF2-40B4-BE49-F238E27FC236}">
              <a16:creationId xmlns:a16="http://schemas.microsoft.com/office/drawing/2014/main" id="{00000000-0008-0000-0100-000089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38" name="右矢印 19">
          <a:extLst>
            <a:ext uri="{FF2B5EF4-FFF2-40B4-BE49-F238E27FC236}">
              <a16:creationId xmlns:a16="http://schemas.microsoft.com/office/drawing/2014/main" id="{00000000-0008-0000-0100-00008A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39" name="右矢印 20">
          <a:extLst>
            <a:ext uri="{FF2B5EF4-FFF2-40B4-BE49-F238E27FC236}">
              <a16:creationId xmlns:a16="http://schemas.microsoft.com/office/drawing/2014/main" id="{00000000-0008-0000-0100-00008B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40" name="右矢印 21">
          <a:extLst>
            <a:ext uri="{FF2B5EF4-FFF2-40B4-BE49-F238E27FC236}">
              <a16:creationId xmlns:a16="http://schemas.microsoft.com/office/drawing/2014/main" id="{00000000-0008-0000-0100-00008C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41" name="右矢印 22">
          <a:extLst>
            <a:ext uri="{FF2B5EF4-FFF2-40B4-BE49-F238E27FC236}">
              <a16:creationId xmlns:a16="http://schemas.microsoft.com/office/drawing/2014/main" id="{00000000-0008-0000-0100-00008D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42" name="右矢印 23">
          <a:extLst>
            <a:ext uri="{FF2B5EF4-FFF2-40B4-BE49-F238E27FC236}">
              <a16:creationId xmlns:a16="http://schemas.microsoft.com/office/drawing/2014/main" id="{00000000-0008-0000-0100-00008E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43" name="右矢印 24">
          <a:extLst>
            <a:ext uri="{FF2B5EF4-FFF2-40B4-BE49-F238E27FC236}">
              <a16:creationId xmlns:a16="http://schemas.microsoft.com/office/drawing/2014/main" id="{00000000-0008-0000-0100-00008F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144" name="右矢印 1">
          <a:extLst>
            <a:ext uri="{FF2B5EF4-FFF2-40B4-BE49-F238E27FC236}">
              <a16:creationId xmlns:a16="http://schemas.microsoft.com/office/drawing/2014/main" id="{00000000-0008-0000-0100-000090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145" name="右矢印 2">
          <a:extLst>
            <a:ext uri="{FF2B5EF4-FFF2-40B4-BE49-F238E27FC236}">
              <a16:creationId xmlns:a16="http://schemas.microsoft.com/office/drawing/2014/main" id="{00000000-0008-0000-0100-000091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146" name="右矢印 3">
          <a:extLst>
            <a:ext uri="{FF2B5EF4-FFF2-40B4-BE49-F238E27FC236}">
              <a16:creationId xmlns:a16="http://schemas.microsoft.com/office/drawing/2014/main" id="{00000000-0008-0000-0100-000092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147" name="右矢印 4">
          <a:extLst>
            <a:ext uri="{FF2B5EF4-FFF2-40B4-BE49-F238E27FC236}">
              <a16:creationId xmlns:a16="http://schemas.microsoft.com/office/drawing/2014/main" id="{00000000-0008-0000-0100-000093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48" name="右矢印 5">
          <a:extLst>
            <a:ext uri="{FF2B5EF4-FFF2-40B4-BE49-F238E27FC236}">
              <a16:creationId xmlns:a16="http://schemas.microsoft.com/office/drawing/2014/main" id="{00000000-0008-0000-0100-000094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149" name="右矢印 6">
          <a:extLst>
            <a:ext uri="{FF2B5EF4-FFF2-40B4-BE49-F238E27FC236}">
              <a16:creationId xmlns:a16="http://schemas.microsoft.com/office/drawing/2014/main" id="{00000000-0008-0000-0100-000095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50" name="右矢印 7">
          <a:extLst>
            <a:ext uri="{FF2B5EF4-FFF2-40B4-BE49-F238E27FC236}">
              <a16:creationId xmlns:a16="http://schemas.microsoft.com/office/drawing/2014/main" id="{00000000-0008-0000-0100-000096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151" name="右矢印 8">
          <a:extLst>
            <a:ext uri="{FF2B5EF4-FFF2-40B4-BE49-F238E27FC236}">
              <a16:creationId xmlns:a16="http://schemas.microsoft.com/office/drawing/2014/main" id="{00000000-0008-0000-0100-000097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76</xdr:row>
      <xdr:rowOff>68722</xdr:rowOff>
    </xdr:from>
    <xdr:to>
      <xdr:col>15</xdr:col>
      <xdr:colOff>147147</xdr:colOff>
      <xdr:row>77</xdr:row>
      <xdr:rowOff>148966</xdr:rowOff>
    </xdr:to>
    <xdr:sp macro="" textlink="">
      <xdr:nvSpPr>
        <xdr:cNvPr id="152" name="右矢印 9">
          <a:extLst>
            <a:ext uri="{FF2B5EF4-FFF2-40B4-BE49-F238E27FC236}">
              <a16:creationId xmlns:a16="http://schemas.microsoft.com/office/drawing/2014/main" id="{00000000-0008-0000-0100-000098000000}"/>
            </a:ext>
          </a:extLst>
        </xdr:cNvPr>
        <xdr:cNvSpPr/>
      </xdr:nvSpPr>
      <xdr:spPr>
        <a:xfrm>
          <a:off x="8936726" y="126163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78</xdr:row>
      <xdr:rowOff>26278</xdr:rowOff>
    </xdr:from>
    <xdr:to>
      <xdr:col>17</xdr:col>
      <xdr:colOff>84082</xdr:colOff>
      <xdr:row>78</xdr:row>
      <xdr:rowOff>157656</xdr:rowOff>
    </xdr:to>
    <xdr:sp macro="" textlink="">
      <xdr:nvSpPr>
        <xdr:cNvPr id="153" name="右矢印 10">
          <a:extLst>
            <a:ext uri="{FF2B5EF4-FFF2-40B4-BE49-F238E27FC236}">
              <a16:creationId xmlns:a16="http://schemas.microsoft.com/office/drawing/2014/main" id="{00000000-0008-0000-0100-000099000000}"/>
            </a:ext>
          </a:extLst>
        </xdr:cNvPr>
        <xdr:cNvSpPr/>
      </xdr:nvSpPr>
      <xdr:spPr>
        <a:xfrm rot="5400000">
          <a:off x="10434978" y="126993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3</xdr:row>
      <xdr:rowOff>68722</xdr:rowOff>
    </xdr:from>
    <xdr:to>
      <xdr:col>15</xdr:col>
      <xdr:colOff>147147</xdr:colOff>
      <xdr:row>4</xdr:row>
      <xdr:rowOff>148966</xdr:rowOff>
    </xdr:to>
    <xdr:sp macro="" textlink="">
      <xdr:nvSpPr>
        <xdr:cNvPr id="154" name="右矢印 11">
          <a:extLst>
            <a:ext uri="{FF2B5EF4-FFF2-40B4-BE49-F238E27FC236}">
              <a16:creationId xmlns:a16="http://schemas.microsoft.com/office/drawing/2014/main" id="{00000000-0008-0000-0100-00009A000000}"/>
            </a:ext>
          </a:extLst>
        </xdr:cNvPr>
        <xdr:cNvSpPr/>
      </xdr:nvSpPr>
      <xdr:spPr>
        <a:xfrm>
          <a:off x="8936726" y="5640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5</xdr:row>
      <xdr:rowOff>26278</xdr:rowOff>
    </xdr:from>
    <xdr:to>
      <xdr:col>17</xdr:col>
      <xdr:colOff>84082</xdr:colOff>
      <xdr:row>5</xdr:row>
      <xdr:rowOff>157656</xdr:rowOff>
    </xdr:to>
    <xdr:sp macro="" textlink="">
      <xdr:nvSpPr>
        <xdr:cNvPr id="155" name="右矢印 12">
          <a:extLst>
            <a:ext uri="{FF2B5EF4-FFF2-40B4-BE49-F238E27FC236}">
              <a16:creationId xmlns:a16="http://schemas.microsoft.com/office/drawing/2014/main" id="{00000000-0008-0000-0100-00009B000000}"/>
            </a:ext>
          </a:extLst>
        </xdr:cNvPr>
        <xdr:cNvSpPr/>
      </xdr:nvSpPr>
      <xdr:spPr>
        <a:xfrm rot="5400000">
          <a:off x="10434978" y="6470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56" name="右矢印 13">
          <a:extLst>
            <a:ext uri="{FF2B5EF4-FFF2-40B4-BE49-F238E27FC236}">
              <a16:creationId xmlns:a16="http://schemas.microsoft.com/office/drawing/2014/main" id="{00000000-0008-0000-0100-00009C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224</xdr:row>
      <xdr:rowOff>26278</xdr:rowOff>
    </xdr:from>
    <xdr:to>
      <xdr:col>17</xdr:col>
      <xdr:colOff>84082</xdr:colOff>
      <xdr:row>224</xdr:row>
      <xdr:rowOff>157656</xdr:rowOff>
    </xdr:to>
    <xdr:sp macro="" textlink="">
      <xdr:nvSpPr>
        <xdr:cNvPr id="157" name="右矢印 14">
          <a:extLst>
            <a:ext uri="{FF2B5EF4-FFF2-40B4-BE49-F238E27FC236}">
              <a16:creationId xmlns:a16="http://schemas.microsoft.com/office/drawing/2014/main" id="{00000000-0008-0000-0100-00009D000000}"/>
            </a:ext>
          </a:extLst>
        </xdr:cNvPr>
        <xdr:cNvSpPr/>
      </xdr:nvSpPr>
      <xdr:spPr>
        <a:xfrm rot="5400000">
          <a:off x="10434978" y="368039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58" name="右矢印 15">
          <a:extLst>
            <a:ext uri="{FF2B5EF4-FFF2-40B4-BE49-F238E27FC236}">
              <a16:creationId xmlns:a16="http://schemas.microsoft.com/office/drawing/2014/main" id="{00000000-0008-0000-0100-00009E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297</xdr:row>
      <xdr:rowOff>26278</xdr:rowOff>
    </xdr:from>
    <xdr:to>
      <xdr:col>17</xdr:col>
      <xdr:colOff>84082</xdr:colOff>
      <xdr:row>297</xdr:row>
      <xdr:rowOff>157656</xdr:rowOff>
    </xdr:to>
    <xdr:sp macro="" textlink="">
      <xdr:nvSpPr>
        <xdr:cNvPr id="159" name="右矢印 16">
          <a:extLst>
            <a:ext uri="{FF2B5EF4-FFF2-40B4-BE49-F238E27FC236}">
              <a16:creationId xmlns:a16="http://schemas.microsoft.com/office/drawing/2014/main" id="{00000000-0008-0000-0100-00009F000000}"/>
            </a:ext>
          </a:extLst>
        </xdr:cNvPr>
        <xdr:cNvSpPr/>
      </xdr:nvSpPr>
      <xdr:spPr>
        <a:xfrm rot="5400000">
          <a:off x="10434978" y="488562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60" name="右矢印 19">
          <a:extLst>
            <a:ext uri="{FF2B5EF4-FFF2-40B4-BE49-F238E27FC236}">
              <a16:creationId xmlns:a16="http://schemas.microsoft.com/office/drawing/2014/main" id="{00000000-0008-0000-0100-0000A0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61" name="右矢印 20">
          <a:extLst>
            <a:ext uri="{FF2B5EF4-FFF2-40B4-BE49-F238E27FC236}">
              <a16:creationId xmlns:a16="http://schemas.microsoft.com/office/drawing/2014/main" id="{00000000-0008-0000-0100-0000A1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62" name="右矢印 21">
          <a:extLst>
            <a:ext uri="{FF2B5EF4-FFF2-40B4-BE49-F238E27FC236}">
              <a16:creationId xmlns:a16="http://schemas.microsoft.com/office/drawing/2014/main" id="{00000000-0008-0000-0100-0000A2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222</xdr:row>
      <xdr:rowOff>68722</xdr:rowOff>
    </xdr:from>
    <xdr:to>
      <xdr:col>15</xdr:col>
      <xdr:colOff>147147</xdr:colOff>
      <xdr:row>223</xdr:row>
      <xdr:rowOff>148966</xdr:rowOff>
    </xdr:to>
    <xdr:sp macro="" textlink="">
      <xdr:nvSpPr>
        <xdr:cNvPr id="163" name="右矢印 22">
          <a:extLst>
            <a:ext uri="{FF2B5EF4-FFF2-40B4-BE49-F238E27FC236}">
              <a16:creationId xmlns:a16="http://schemas.microsoft.com/office/drawing/2014/main" id="{00000000-0008-0000-0100-0000A3000000}"/>
            </a:ext>
          </a:extLst>
        </xdr:cNvPr>
        <xdr:cNvSpPr/>
      </xdr:nvSpPr>
      <xdr:spPr>
        <a:xfrm>
          <a:off x="8936726" y="367209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64" name="右矢印 23">
          <a:extLst>
            <a:ext uri="{FF2B5EF4-FFF2-40B4-BE49-F238E27FC236}">
              <a16:creationId xmlns:a16="http://schemas.microsoft.com/office/drawing/2014/main" id="{00000000-0008-0000-0100-0000A4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295</xdr:row>
      <xdr:rowOff>68722</xdr:rowOff>
    </xdr:from>
    <xdr:to>
      <xdr:col>15</xdr:col>
      <xdr:colOff>147147</xdr:colOff>
      <xdr:row>296</xdr:row>
      <xdr:rowOff>148966</xdr:rowOff>
    </xdr:to>
    <xdr:sp macro="" textlink="">
      <xdr:nvSpPr>
        <xdr:cNvPr id="165" name="右矢印 24">
          <a:extLst>
            <a:ext uri="{FF2B5EF4-FFF2-40B4-BE49-F238E27FC236}">
              <a16:creationId xmlns:a16="http://schemas.microsoft.com/office/drawing/2014/main" id="{00000000-0008-0000-0100-0000A5000000}"/>
            </a:ext>
          </a:extLst>
        </xdr:cNvPr>
        <xdr:cNvSpPr/>
      </xdr:nvSpPr>
      <xdr:spPr>
        <a:xfrm>
          <a:off x="8936726" y="487732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66" name="右矢印 5">
          <a:extLst>
            <a:ext uri="{FF2B5EF4-FFF2-40B4-BE49-F238E27FC236}">
              <a16:creationId xmlns:a16="http://schemas.microsoft.com/office/drawing/2014/main" id="{00000000-0008-0000-0100-0000A6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67" name="右矢印 6">
          <a:extLst>
            <a:ext uri="{FF2B5EF4-FFF2-40B4-BE49-F238E27FC236}">
              <a16:creationId xmlns:a16="http://schemas.microsoft.com/office/drawing/2014/main" id="{00000000-0008-0000-0100-0000A7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68" name="右矢印 13">
          <a:extLst>
            <a:ext uri="{FF2B5EF4-FFF2-40B4-BE49-F238E27FC236}">
              <a16:creationId xmlns:a16="http://schemas.microsoft.com/office/drawing/2014/main" id="{00000000-0008-0000-0100-0000A8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69" name="右矢印 14">
          <a:extLst>
            <a:ext uri="{FF2B5EF4-FFF2-40B4-BE49-F238E27FC236}">
              <a16:creationId xmlns:a16="http://schemas.microsoft.com/office/drawing/2014/main" id="{00000000-0008-0000-0100-0000A9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0" name="右矢印 19">
          <a:extLst>
            <a:ext uri="{FF2B5EF4-FFF2-40B4-BE49-F238E27FC236}">
              <a16:creationId xmlns:a16="http://schemas.microsoft.com/office/drawing/2014/main" id="{00000000-0008-0000-0100-0000AA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1" name="右矢印 20">
          <a:extLst>
            <a:ext uri="{FF2B5EF4-FFF2-40B4-BE49-F238E27FC236}">
              <a16:creationId xmlns:a16="http://schemas.microsoft.com/office/drawing/2014/main" id="{00000000-0008-0000-0100-0000AB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2" name="右矢印 21">
          <a:extLst>
            <a:ext uri="{FF2B5EF4-FFF2-40B4-BE49-F238E27FC236}">
              <a16:creationId xmlns:a16="http://schemas.microsoft.com/office/drawing/2014/main" id="{00000000-0008-0000-0100-0000AC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3" name="右矢印 22">
          <a:extLst>
            <a:ext uri="{FF2B5EF4-FFF2-40B4-BE49-F238E27FC236}">
              <a16:creationId xmlns:a16="http://schemas.microsoft.com/office/drawing/2014/main" id="{00000000-0008-0000-0100-0000AD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4" name="右矢印 5">
          <a:extLst>
            <a:ext uri="{FF2B5EF4-FFF2-40B4-BE49-F238E27FC236}">
              <a16:creationId xmlns:a16="http://schemas.microsoft.com/office/drawing/2014/main" id="{00000000-0008-0000-0100-0000AE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75" name="右矢印 6">
          <a:extLst>
            <a:ext uri="{FF2B5EF4-FFF2-40B4-BE49-F238E27FC236}">
              <a16:creationId xmlns:a16="http://schemas.microsoft.com/office/drawing/2014/main" id="{00000000-0008-0000-0100-0000AF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6" name="右矢印 13">
          <a:extLst>
            <a:ext uri="{FF2B5EF4-FFF2-40B4-BE49-F238E27FC236}">
              <a16:creationId xmlns:a16="http://schemas.microsoft.com/office/drawing/2014/main" id="{00000000-0008-0000-0100-0000B0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171802</xdr:colOff>
      <xdr:row>151</xdr:row>
      <xdr:rowOff>26278</xdr:rowOff>
    </xdr:from>
    <xdr:to>
      <xdr:col>17</xdr:col>
      <xdr:colOff>84082</xdr:colOff>
      <xdr:row>151</xdr:row>
      <xdr:rowOff>157656</xdr:rowOff>
    </xdr:to>
    <xdr:sp macro="" textlink="">
      <xdr:nvSpPr>
        <xdr:cNvPr id="177" name="右矢印 14">
          <a:extLst>
            <a:ext uri="{FF2B5EF4-FFF2-40B4-BE49-F238E27FC236}">
              <a16:creationId xmlns:a16="http://schemas.microsoft.com/office/drawing/2014/main" id="{00000000-0008-0000-0100-0000B1000000}"/>
            </a:ext>
          </a:extLst>
        </xdr:cNvPr>
        <xdr:cNvSpPr/>
      </xdr:nvSpPr>
      <xdr:spPr>
        <a:xfrm rot="5400000">
          <a:off x="10434978" y="24751602"/>
          <a:ext cx="131378" cy="540930"/>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8" name="右矢印 19">
          <a:extLst>
            <a:ext uri="{FF2B5EF4-FFF2-40B4-BE49-F238E27FC236}">
              <a16:creationId xmlns:a16="http://schemas.microsoft.com/office/drawing/2014/main" id="{00000000-0008-0000-0100-0000B2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79" name="右矢印 20">
          <a:extLst>
            <a:ext uri="{FF2B5EF4-FFF2-40B4-BE49-F238E27FC236}">
              <a16:creationId xmlns:a16="http://schemas.microsoft.com/office/drawing/2014/main" id="{00000000-0008-0000-0100-0000B3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80" name="右矢印 21">
          <a:extLst>
            <a:ext uri="{FF2B5EF4-FFF2-40B4-BE49-F238E27FC236}">
              <a16:creationId xmlns:a16="http://schemas.microsoft.com/office/drawing/2014/main" id="{00000000-0008-0000-0100-0000B4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135626</xdr:colOff>
      <xdr:row>149</xdr:row>
      <xdr:rowOff>68722</xdr:rowOff>
    </xdr:from>
    <xdr:to>
      <xdr:col>15</xdr:col>
      <xdr:colOff>147147</xdr:colOff>
      <xdr:row>150</xdr:row>
      <xdr:rowOff>148966</xdr:rowOff>
    </xdr:to>
    <xdr:sp macro="" textlink="">
      <xdr:nvSpPr>
        <xdr:cNvPr id="181" name="右矢印 22">
          <a:extLst>
            <a:ext uri="{FF2B5EF4-FFF2-40B4-BE49-F238E27FC236}">
              <a16:creationId xmlns:a16="http://schemas.microsoft.com/office/drawing/2014/main" id="{00000000-0008-0000-0100-0000B5000000}"/>
            </a:ext>
          </a:extLst>
        </xdr:cNvPr>
        <xdr:cNvSpPr/>
      </xdr:nvSpPr>
      <xdr:spPr>
        <a:xfrm>
          <a:off x="8936726" y="24668622"/>
          <a:ext cx="640171" cy="245344"/>
        </a:xfrm>
        <a:prstGeom prst="righ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30480</xdr:colOff>
      <xdr:row>0</xdr:row>
      <xdr:rowOff>38100</xdr:rowOff>
    </xdr:from>
    <xdr:to>
      <xdr:col>7</xdr:col>
      <xdr:colOff>297180</xdr:colOff>
      <xdr:row>0</xdr:row>
      <xdr:rowOff>434340</xdr:rowOff>
    </xdr:to>
    <xdr:sp macro="[0]!ログをクリアする" textlink="">
      <xdr:nvSpPr>
        <xdr:cNvPr id="2" name="正方形/長方形 1">
          <a:extLst>
            <a:ext uri="{FF2B5EF4-FFF2-40B4-BE49-F238E27FC236}">
              <a16:creationId xmlns:a16="http://schemas.microsoft.com/office/drawing/2014/main" id="{6D673715-94F8-42BB-89B8-6E32F355FA85}"/>
            </a:ext>
          </a:extLst>
        </xdr:cNvPr>
        <xdr:cNvSpPr/>
      </xdr:nvSpPr>
      <xdr:spPr>
        <a:xfrm>
          <a:off x="6858000" y="38100"/>
          <a:ext cx="937260" cy="396240"/>
        </a:xfrm>
        <a:prstGeom prst="rect">
          <a:avLst/>
        </a:prstGeom>
        <a:solidFill>
          <a:schemeClr val="bg2"/>
        </a:solidFill>
        <a:ln>
          <a:solidFill>
            <a:schemeClr val="tx1"/>
          </a:solid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ja-JP" altLang="en-US" sz="1100" b="1" kern="1200">
              <a:latin typeface="メイリオ" panose="020B0604030504040204" pitchFamily="50" charset="-128"/>
              <a:ea typeface="メイリオ" panose="020B0604030504040204" pitchFamily="50" charset="-128"/>
            </a:rPr>
            <a:t>ログ削除</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FEC92CD7-9BC8-4BA3-9769-066D195F6BF1}" autoFormatId="20" applyNumberFormats="0" applyBorderFormats="0" applyFontFormats="0" applyPatternFormats="0" applyAlignmentFormats="0" applyWidthHeightFormats="0">
  <queryTableRefresh nextId="17">
    <queryTableFields count="16">
      <queryTableField id="1" name="Name" tableColumnId="1"/>
      <queryTableField id="2" name="担当者" tableColumnId="2"/>
      <queryTableField id="3" name="得意先" tableColumnId="3"/>
      <queryTableField id="4" name="現場" tableColumnId="4"/>
      <queryTableField id="5" name="材料" tableColumnId="5"/>
      <queryTableField id="6" name="変換後製品名" tableColumnId="6"/>
      <queryTableField id="7" name="UR" tableColumnId="7"/>
      <queryTableField id="8" name="メーカー" tableColumnId="8"/>
      <queryTableField id="9" name="数量" tableColumnId="9"/>
      <queryTableField id="10" name="単位" tableColumnId="10"/>
      <queryTableField id="11" name="納品日" tableColumnId="11"/>
      <queryTableField id="12" name="注文状況" tableColumnId="12"/>
      <queryTableField id="13" name="注文日" tableColumnId="13"/>
      <queryTableField id="14" name="現場状況" tableColumnId="14"/>
      <queryTableField id="15" name="チェック" tableColumnId="15"/>
      <queryTableField id="16" name="日時"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427A614E-BAFB-4975-9091-0D2EC9D1E849}" autoFormatId="20" applyNumberFormats="0" applyBorderFormats="0" applyFontFormats="0" applyPatternFormats="0" applyAlignmentFormats="0" applyWidthHeightFormats="0">
  <queryTableRefresh nextId="7">
    <queryTableFields count="6">
      <queryTableField id="1" name="Name" tableColumnId="1"/>
      <queryTableField id="2" name="担当者" tableColumnId="2"/>
      <queryTableField id="3" name="材料" tableColumnId="3"/>
      <queryTableField id="4" name="数量" tableColumnId="4"/>
      <queryTableField id="5" name="単位" tableColumnId="5"/>
      <queryTableField id="6" name="納品日"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C95979F1-8284-47FD-B695-ECB6B56E6F10}" autoFormatId="0" applyNumberFormats="0" applyBorderFormats="0" applyFontFormats="1" applyPatternFormats="1" applyAlignmentFormats="0" applyWidthHeightFormats="0">
  <queryTableRefresh nextId="14">
    <queryTableFields count="13">
      <queryTableField id="1" name="Name" tableColumnId="14"/>
      <queryTableField id="2" name="担当者" tableColumnId="15"/>
      <queryTableField id="3" name="得意先" tableColumnId="16"/>
      <queryTableField id="4" name="現場" tableColumnId="17"/>
      <queryTableField id="5" name="材料" tableColumnId="18"/>
      <queryTableField id="6" name="数量" tableColumnId="19"/>
      <queryTableField id="7" name="単位" tableColumnId="20"/>
      <queryTableField id="8" name="納品日" tableColumnId="21"/>
      <queryTableField id="9" name="注文状況" tableColumnId="22"/>
      <queryTableField id="10" name="注文日" tableColumnId="23"/>
      <queryTableField id="11" name="現場状況" tableColumnId="24"/>
      <queryTableField id="12" name="チェック" tableColumnId="25"/>
      <queryTableField id="13" name="日時" tableColumnId="26"/>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1">
    <v>8a739c87810f45eeba3c048b1a100a31</v>
    <v>Length mismatch: Expected axis has 6 elements, new values have 7 elements</v>
    <v>ValueError</v>
    <v>18</v>
    <v>1</v>
  </rv>
</rvData>
</file>

<file path=xl/richData/rdrichvaluestructure.xml><?xml version="1.0" encoding="utf-8"?>
<rvStructures xmlns="http://schemas.microsoft.com/office/spreadsheetml/2017/richdata" count="2">
  <s t="_localImage">
    <k n="_rvRel:LocalImageIdentifier" t="i"/>
    <k n="CalcOrigin" t="i"/>
  </s>
  <s t="_error">
    <k n="correlationId" t="s"/>
    <k n="errorMessage" t="s"/>
    <k n="errorName" t="s"/>
    <k n="errorType" t="i"/>
    <k n="subType"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60E79C1-4AF5-4991-B57D-7BDD019EF61D}" name="担当DB" displayName="担当DB" ref="A1:B6" totalsRowShown="0">
  <autoFilter ref="A1:B6" xr:uid="{E60E79C1-4AF5-4991-B57D-7BDD019EF61D}"/>
  <tableColumns count="2">
    <tableColumn id="1" xr3:uid="{46E53188-2113-44D5-9536-53705EAF7798}" name="エリア"/>
    <tableColumn id="2" xr3:uid="{36EBC9FD-E85A-4EF0-8730-F2268C9D6003}" name="担当者"/>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B830A1-7031-4DA2-81DF-88E40D84A20B}" name="製品DB" displayName="製品DB" ref="A1:C179" totalsRowShown="0">
  <autoFilter ref="A1:C179" xr:uid="{34B830A1-7031-4DA2-81DF-88E40D84A20B}">
    <filterColumn colId="2">
      <filters>
        <filter val="フジRBシート"/>
        <filter val="フジRBテープ"/>
        <filter val="フジウルトラルーフ"/>
        <filter val="フジクラックシート"/>
        <filter val="フジクラックシートW330　3入り"/>
        <filter val="フジクラックシートW500　2入り"/>
        <filter val="フジクリーン（ｔ）"/>
        <filter val="フジクロスGL"/>
        <filter val="フジクロスK"/>
        <filter val="フジクロスK W100"/>
        <filter val="フジクロスV"/>
        <filter val="フジシールⅡ号A 12.5㎏（ｔ）"/>
        <filter val="フジシールⅡ号A 25㎏（ｔ）"/>
        <filter val="フジシールⅢ号　10㎏（ｔ）"/>
        <filter val="フジシールⅢ号　12.5㎏（ｔ）"/>
        <filter val="フジシールⅢ号　25㎏（ｔ）"/>
        <filter val="フジスーパーシート"/>
        <filter val="フジスーパーパーク"/>
        <filter val="フジスーパールーフ"/>
        <filter val="フジトップカラー　グレー"/>
        <filter val="フジトップカラー　特注色"/>
        <filter val="フジペースト"/>
        <filter val="フジマウントコート"/>
        <filter val="フジロードコート 10kg（ｔ）"/>
        <filter val="フジロードコート 25kg（ｔ）"/>
        <filter val="フジロードコートG 25kg（ｔ）"/>
      </filters>
    </filterColumn>
  </autoFilter>
  <tableColumns count="3">
    <tableColumn id="1" xr3:uid="{0939820A-0D58-4A7E-9A3C-1A2E6AD2E0C4}" name="枠組み"/>
    <tableColumn id="2" xr3:uid="{8A70D675-B6E3-4F9C-96C3-35A23CEFD5E5}" name="製品番号"/>
    <tableColumn id="3" xr3:uid="{DFE383B1-F153-4016-83F8-D0007F756011}" name="製品名"/>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DC8612-8E98-43FA-A710-D486C4CC4FB8}" name="入力フォーム" displayName="入力フォーム" ref="B5:G6" insertRow="1" totalsRowShown="0" headerRowDxfId="33" headerRowBorderDxfId="32" tableBorderDxfId="31" totalsRowBorderDxfId="30">
  <autoFilter ref="B5:G6" xr:uid="{79DC8612-8E98-43FA-A710-D486C4CC4FB8}"/>
  <tableColumns count="6">
    <tableColumn id="1" xr3:uid="{CB82C115-F620-44CE-BBD7-CA7E228A3E18}" name="製品名" dataDxfId="29"/>
    <tableColumn id="2" xr3:uid="{C02D8CE5-D6BB-4053-81E1-FA6A47CAD549}" name="前半/後半" dataDxfId="28"/>
    <tableColumn id="3" xr3:uid="{6E0B227B-F828-4771-8860-0EF0A622D12E}" name="数量" dataDxfId="27"/>
    <tableColumn id="4" xr3:uid="{A17CFC39-8CE9-4147-82C8-F726AC9E4191}" name="処理結果（自動）" dataDxfId="26"/>
    <tableColumn id="5" xr3:uid="{89295774-A1C3-4472-985D-22BE3CC57BFD}" name="元データ行番号" dataDxfId="25"/>
    <tableColumn id="6" xr3:uid="{4710E6EB-CDC4-4A5C-A7E0-000BB018AEE9}" name="元データキー" dataDxfId="24"/>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3EF398A-8B2F-4B1C-B377-4B46201A1DDA}" name="テーブル4" displayName="テーブル4" ref="A1:F2" insertRow="1" totalsRowShown="0" headerRowDxfId="23" headerRowBorderDxfId="22" tableBorderDxfId="21">
  <autoFilter ref="A1:F2" xr:uid="{23EF398A-8B2F-4B1C-B377-4B46201A1DDA}"/>
  <tableColumns count="6">
    <tableColumn id="1" xr3:uid="{DEB13C05-2B1F-4EA1-9564-910C8BA0C9C8}" name="日時" dataDxfId="20"/>
    <tableColumn id="2" xr3:uid="{C43399A4-2926-4F0E-AD61-2F383B3D065D}" name="エリア"/>
    <tableColumn id="3" xr3:uid="{56AE6A79-708A-4FEB-A67F-5E58E77AFFA6}" name="担当者"/>
    <tableColumn id="4" xr3:uid="{8F2D6016-9665-4FCF-AC3F-D5951C649D22}" name="製品名"/>
    <tableColumn id="5" xr3:uid="{0B44A29D-5239-467A-95A4-2079A66B1EFF}" name="前半/後半"/>
    <tableColumn id="6" xr3:uid="{27290ADD-AD70-48CE-B322-E71BBE31A5DD}" name="数量"/>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7A55E36-E799-4271-B5CD-4BA866855F08}" name="テーブル1" displayName="テーブル1" ref="A1:D179" totalsRowShown="0" headerRowBorderDxfId="12" tableBorderDxfId="11">
  <autoFilter ref="A1:D179" xr:uid="{B0B3526F-78EF-4424-AC6A-35A15DBC8F9C}"/>
  <tableColumns count="4">
    <tableColumn id="1" xr3:uid="{8A587991-C15C-43C5-B4A0-49E4D090A23E}" name="変換前（材料名）" dataDxfId="10"/>
    <tableColumn id="2" xr3:uid="{FD24786C-4D07-4491-A2F5-1E539A11CDD7}" name="変換後（製品名）" dataDxfId="9"/>
    <tableColumn id="3" xr3:uid="{B48463A7-808E-4220-BC23-F081312F79B7}" name="UR" dataDxfId="8"/>
    <tableColumn id="4" xr3:uid="{095026EC-E720-4892-BD78-1CE68072C3F1}" name="メーカー"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7E9830-F4EA-4445-B64C-0820E0994121}" name="★変換済みデータ" displayName="★変換済みデータ" ref="A1:P2" tableType="queryTable" totalsRowShown="0">
  <autoFilter ref="A1:P2" xr:uid="{707E9830-F4EA-4445-B64C-0820E0994121}"/>
  <tableColumns count="16">
    <tableColumn id="1" xr3:uid="{F683BF7E-0D8D-4E92-ABE9-9347D40F610C}" uniqueName="1" name="Name" queryTableFieldId="1" dataDxfId="6"/>
    <tableColumn id="2" xr3:uid="{A6BD23E7-1A8E-43CF-AA2F-77B478CD8D70}" uniqueName="2" name="担当者" queryTableFieldId="2"/>
    <tableColumn id="3" xr3:uid="{EF5A405F-B682-49E3-8364-4514D5F16773}" uniqueName="3" name="得意先" queryTableFieldId="3"/>
    <tableColumn id="4" xr3:uid="{810ADD0B-15E6-4AF7-9443-5D37BC55E5F1}" uniqueName="4" name="現場" queryTableFieldId="4"/>
    <tableColumn id="5" xr3:uid="{360801E2-718B-4BD1-BE5F-9DEB03563E6C}" uniqueName="5" name="材料" queryTableFieldId="5"/>
    <tableColumn id="6" xr3:uid="{43575AD6-6649-47AD-A0BF-661A71CE045D}" uniqueName="6" name="変換後製品名" queryTableFieldId="6" dataDxfId="5"/>
    <tableColumn id="7" xr3:uid="{B577AF52-9CD1-4AE4-B7E5-92C4A105DB4E}" uniqueName="7" name="UR" queryTableFieldId="7" dataDxfId="4"/>
    <tableColumn id="8" xr3:uid="{B83DF5D0-38B9-4C66-860D-5C3AF4563327}" uniqueName="8" name="メーカー" queryTableFieldId="8" dataDxfId="3"/>
    <tableColumn id="9" xr3:uid="{CD3FE121-F7A4-46B2-880A-FAB605A73F96}" uniqueName="9" name="数量" queryTableFieldId="9"/>
    <tableColumn id="10" xr3:uid="{A766877B-96AB-4A63-A37E-7E3C36481FEA}" uniqueName="10" name="単位" queryTableFieldId="10"/>
    <tableColumn id="11" xr3:uid="{3713FA60-B01D-41F0-8768-C1FA22FB7543}" uniqueName="11" name="納品日" queryTableFieldId="11"/>
    <tableColumn id="12" xr3:uid="{45C57D02-2B52-46ED-B7AE-B224EE7F6070}" uniqueName="12" name="注文状況" queryTableFieldId="12"/>
    <tableColumn id="13" xr3:uid="{2E2E81D7-C5C2-4516-9DA9-08D8BB051EF1}" uniqueName="13" name="注文日" queryTableFieldId="13"/>
    <tableColumn id="14" xr3:uid="{AC7F1D28-F6BD-4CA6-A56D-B8F45D17230C}" uniqueName="14" name="現場状況" queryTableFieldId="14"/>
    <tableColumn id="15" xr3:uid="{B80BE647-5473-4048-ADF8-0CA24252B0F5}" uniqueName="15" name="チェック" queryTableFieldId="15"/>
    <tableColumn id="16" xr3:uid="{28F8BB49-F416-48B8-85BF-1E2280A32AF8}" uniqueName="16" name="日時" queryTableFieldId="1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8AB9A2-5DA0-428D-9947-5BF5C46EE2E0}" name="未変換一覧" displayName="未変換一覧" ref="A1:F6" tableType="queryTable" totalsRowShown="0" headerRowDxfId="2">
  <autoFilter ref="A1:F6" xr:uid="{908AB9A2-5DA0-428D-9947-5BF5C46EE2E0}"/>
  <tableColumns count="6">
    <tableColumn id="1" xr3:uid="{6869717C-F1D2-462E-877F-78F156D61197}" uniqueName="1" name="Name" queryTableFieldId="1" dataDxfId="1"/>
    <tableColumn id="2" xr3:uid="{C1E41BC4-BD40-4E97-8864-7A556956EB65}" uniqueName="2" name="担当者" queryTableFieldId="2"/>
    <tableColumn id="3" xr3:uid="{3A90633D-8DCE-4605-8379-B40AF9BC82C5}" uniqueName="3" name="材料" queryTableFieldId="3"/>
    <tableColumn id="4" xr3:uid="{04078CD6-F5DC-4B1A-BB6F-E933B90CF330}" uniqueName="4" name="数量" queryTableFieldId="4"/>
    <tableColumn id="5" xr3:uid="{03CA380A-D2BE-4D82-A54E-0CB5C3E117B5}" uniqueName="5" name="単位" queryTableFieldId="5"/>
    <tableColumn id="6" xr3:uid="{E35EE653-A2D0-4E4B-B947-693F9A065705}" uniqueName="6" name="納品日"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917452D-69B4-4CD0-A05C-208544D2992C}" name="TBL_班員データ" displayName="TBL_班員データ" ref="A1:M2" tableType="queryTable" insertRow="1" totalsRowShown="0">
  <autoFilter ref="A1:M2" xr:uid="{09EA990A-1959-4F21-92A9-33E2F2021741}"/>
  <tableColumns count="13">
    <tableColumn id="14" xr3:uid="{6BD68536-7723-459E-AF88-3348FFABD3C3}" uniqueName="14" name="Name" queryTableFieldId="1" dataDxfId="0"/>
    <tableColumn id="15" xr3:uid="{30576298-764C-48FA-B546-437BFA96DC2A}" uniqueName="15" name="担当者" queryTableFieldId="2"/>
    <tableColumn id="16" xr3:uid="{BC5BF3AA-7985-4759-8CC4-9109DFFE016D}" uniqueName="16" name="得意先" queryTableFieldId="3"/>
    <tableColumn id="17" xr3:uid="{300F3493-6D26-44E4-8A0D-4A298215E193}" uniqueName="17" name="現場" queryTableFieldId="4"/>
    <tableColumn id="18" xr3:uid="{EA5212CA-C9C6-4B94-9B4D-1CB662BCA217}" uniqueName="18" name="材料" queryTableFieldId="5"/>
    <tableColumn id="19" xr3:uid="{936C73EC-92BA-4969-B44E-266E1DC993AB}" uniqueName="19" name="数量" queryTableFieldId="6"/>
    <tableColumn id="20" xr3:uid="{CDC48646-CB2A-4B4C-BAF5-F99CCD0A8982}" uniqueName="20" name="単位" queryTableFieldId="7"/>
    <tableColumn id="21" xr3:uid="{A6FC7B7A-A02D-4C81-B3AC-6BD598F87D02}" uniqueName="21" name="納品日" queryTableFieldId="8"/>
    <tableColumn id="22" xr3:uid="{C900ABBE-0B5D-4050-9BDB-E2B183E57AFD}" uniqueName="22" name="注文状況" queryTableFieldId="9"/>
    <tableColumn id="23" xr3:uid="{F8202957-0BF7-44A0-9F71-74E2002297C7}" uniqueName="23" name="注文日" queryTableFieldId="10"/>
    <tableColumn id="24" xr3:uid="{28126AA6-C1FE-43E2-A16B-688DE34CCC97}" uniqueName="24" name="現場状況" queryTableFieldId="11"/>
    <tableColumn id="25" xr3:uid="{C1CA4769-0922-4221-8EFC-5B6917948846}" uniqueName="25" name="チェック" queryTableFieldId="12"/>
    <tableColumn id="26" xr3:uid="{E9C65764-9D1C-4050-A862-E4DC9CEE2DF8}" uniqueName="26" name="日時" queryTableFieldId="13"/>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table" Target="../tables/table3.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FAC9F-3999-474A-ABE7-9195E735AAEC}">
  <sheetPr codeName="Sheet6"/>
  <dimension ref="A1:B6"/>
  <sheetViews>
    <sheetView workbookViewId="0">
      <selection activeCell="C9" sqref="C9"/>
    </sheetView>
  </sheetViews>
  <sheetFormatPr defaultRowHeight="18"/>
  <sheetData>
    <row r="1" spans="1:2">
      <c r="A1" t="s">
        <v>1061</v>
      </c>
      <c r="B1" t="s">
        <v>1062</v>
      </c>
    </row>
    <row r="2" spans="1:2">
      <c r="A2" t="s">
        <v>1063</v>
      </c>
      <c r="B2" t="s">
        <v>2</v>
      </c>
    </row>
    <row r="3" spans="1:2">
      <c r="A3" t="s">
        <v>1063</v>
      </c>
      <c r="B3" t="s">
        <v>3</v>
      </c>
    </row>
    <row r="4" spans="1:2">
      <c r="A4" t="s">
        <v>1063</v>
      </c>
      <c r="B4" t="s">
        <v>4</v>
      </c>
    </row>
    <row r="5" spans="1:2">
      <c r="A5" t="s">
        <v>1063</v>
      </c>
      <c r="B5" t="s">
        <v>5</v>
      </c>
    </row>
    <row r="6" spans="1:2">
      <c r="A6" t="s">
        <v>1063</v>
      </c>
      <c r="B6" t="s">
        <v>1064</v>
      </c>
    </row>
  </sheetData>
  <phoneticPr fontId="2"/>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078F7-0509-4CBC-8388-86211BB8A12A}">
  <sheetPr codeName="Sheet5"/>
  <dimension ref="A1:C179"/>
  <sheetViews>
    <sheetView workbookViewId="0">
      <selection activeCell="C112" sqref="C112"/>
    </sheetView>
  </sheetViews>
  <sheetFormatPr defaultRowHeight="18"/>
  <cols>
    <col min="1" max="1" width="27.8984375" bestFit="1" customWidth="1"/>
    <col min="2" max="2" width="26.8984375" customWidth="1"/>
    <col min="3" max="3" width="33.8984375" bestFit="1" customWidth="1"/>
  </cols>
  <sheetData>
    <row r="1" spans="1:3">
      <c r="A1" t="s">
        <v>776</v>
      </c>
      <c r="B1" t="s">
        <v>1060</v>
      </c>
      <c r="C1" t="s">
        <v>775</v>
      </c>
    </row>
    <row r="2" spans="1:3" hidden="1">
      <c r="A2" t="s">
        <v>9</v>
      </c>
      <c r="B2" t="s">
        <v>787</v>
      </c>
      <c r="C2" t="s">
        <v>777</v>
      </c>
    </row>
    <row r="3" spans="1:3">
      <c r="A3" t="s">
        <v>9</v>
      </c>
      <c r="B3" t="s">
        <v>788</v>
      </c>
      <c r="C3" t="s">
        <v>778</v>
      </c>
    </row>
    <row r="4" spans="1:3" hidden="1">
      <c r="A4" t="s">
        <v>9</v>
      </c>
      <c r="B4" t="s">
        <v>789</v>
      </c>
      <c r="C4" t="s">
        <v>12</v>
      </c>
    </row>
    <row r="5" spans="1:3" hidden="1">
      <c r="A5" t="s">
        <v>9</v>
      </c>
      <c r="B5" t="s">
        <v>790</v>
      </c>
      <c r="C5" t="s">
        <v>13</v>
      </c>
    </row>
    <row r="6" spans="1:3" hidden="1">
      <c r="A6" t="s">
        <v>9</v>
      </c>
      <c r="B6" t="s">
        <v>791</v>
      </c>
      <c r="C6" t="s">
        <v>14</v>
      </c>
    </row>
    <row r="7" spans="1:3" hidden="1">
      <c r="A7" t="s">
        <v>9</v>
      </c>
      <c r="B7" t="s">
        <v>792</v>
      </c>
      <c r="C7" t="s">
        <v>779</v>
      </c>
    </row>
    <row r="8" spans="1:3" hidden="1">
      <c r="A8" t="s">
        <v>9</v>
      </c>
      <c r="B8" t="s">
        <v>793</v>
      </c>
      <c r="C8" t="s">
        <v>780</v>
      </c>
    </row>
    <row r="9" spans="1:3" hidden="1">
      <c r="A9" t="s">
        <v>9</v>
      </c>
      <c r="B9" t="s">
        <v>794</v>
      </c>
      <c r="C9" t="s">
        <v>781</v>
      </c>
    </row>
    <row r="10" spans="1:3" hidden="1">
      <c r="A10" t="s">
        <v>9</v>
      </c>
      <c r="B10" t="s">
        <v>795</v>
      </c>
      <c r="C10" t="s">
        <v>782</v>
      </c>
    </row>
    <row r="11" spans="1:3" hidden="1">
      <c r="A11" t="s">
        <v>9</v>
      </c>
      <c r="B11" t="s">
        <v>796</v>
      </c>
      <c r="C11" t="s">
        <v>783</v>
      </c>
    </row>
    <row r="12" spans="1:3" hidden="1">
      <c r="A12" t="s">
        <v>9</v>
      </c>
      <c r="B12" t="s">
        <v>797</v>
      </c>
      <c r="C12" t="s">
        <v>20</v>
      </c>
    </row>
    <row r="13" spans="1:3">
      <c r="A13" t="s">
        <v>9</v>
      </c>
      <c r="B13" t="s">
        <v>798</v>
      </c>
      <c r="C13" t="s">
        <v>784</v>
      </c>
    </row>
    <row r="14" spans="1:3" hidden="1">
      <c r="A14" t="s">
        <v>9</v>
      </c>
      <c r="B14" t="s">
        <v>799</v>
      </c>
      <c r="C14" t="s">
        <v>785</v>
      </c>
    </row>
    <row r="15" spans="1:3" hidden="1">
      <c r="A15" t="s">
        <v>9</v>
      </c>
      <c r="B15" t="s">
        <v>800</v>
      </c>
      <c r="C15" t="s">
        <v>786</v>
      </c>
    </row>
    <row r="16" spans="1:3">
      <c r="A16" t="s">
        <v>24</v>
      </c>
      <c r="B16" t="s">
        <v>801</v>
      </c>
      <c r="C16" t="s">
        <v>708</v>
      </c>
    </row>
    <row r="17" spans="1:3">
      <c r="A17" t="s">
        <v>24</v>
      </c>
      <c r="B17" t="s">
        <v>802</v>
      </c>
      <c r="C17" t="s">
        <v>709</v>
      </c>
    </row>
    <row r="18" spans="1:3">
      <c r="A18" t="s">
        <v>24</v>
      </c>
      <c r="B18" t="s">
        <v>803</v>
      </c>
      <c r="C18" t="s">
        <v>710</v>
      </c>
    </row>
    <row r="19" spans="1:3">
      <c r="A19" t="s">
        <v>24</v>
      </c>
      <c r="B19" t="s">
        <v>804</v>
      </c>
      <c r="C19" t="s">
        <v>711</v>
      </c>
    </row>
    <row r="20" spans="1:3">
      <c r="A20" t="s">
        <v>24</v>
      </c>
      <c r="B20" t="s">
        <v>805</v>
      </c>
      <c r="C20" t="s">
        <v>712</v>
      </c>
    </row>
    <row r="21" spans="1:3" hidden="1">
      <c r="A21" t="s">
        <v>24</v>
      </c>
      <c r="B21" t="s">
        <v>806</v>
      </c>
      <c r="C21" t="s">
        <v>807</v>
      </c>
    </row>
    <row r="22" spans="1:3" hidden="1">
      <c r="A22" t="s">
        <v>24</v>
      </c>
      <c r="B22" t="s">
        <v>808</v>
      </c>
      <c r="C22" t="s">
        <v>809</v>
      </c>
    </row>
    <row r="23" spans="1:3" hidden="1">
      <c r="A23" t="s">
        <v>24</v>
      </c>
      <c r="B23" t="s">
        <v>810</v>
      </c>
      <c r="C23" t="s">
        <v>811</v>
      </c>
    </row>
    <row r="24" spans="1:3" hidden="1">
      <c r="A24" t="s">
        <v>24</v>
      </c>
      <c r="B24" t="s">
        <v>812</v>
      </c>
      <c r="C24" t="s">
        <v>813</v>
      </c>
    </row>
    <row r="25" spans="1:3" hidden="1">
      <c r="A25" t="s">
        <v>24</v>
      </c>
      <c r="B25" t="s">
        <v>814</v>
      </c>
      <c r="C25" t="s">
        <v>815</v>
      </c>
    </row>
    <row r="26" spans="1:3" hidden="1">
      <c r="A26" t="s">
        <v>24</v>
      </c>
      <c r="B26" t="s">
        <v>816</v>
      </c>
      <c r="C26" t="s">
        <v>817</v>
      </c>
    </row>
    <row r="27" spans="1:3" hidden="1">
      <c r="A27" t="s">
        <v>24</v>
      </c>
      <c r="B27" t="s">
        <v>818</v>
      </c>
      <c r="C27" t="s">
        <v>819</v>
      </c>
    </row>
    <row r="28" spans="1:3" hidden="1">
      <c r="A28" t="s">
        <v>24</v>
      </c>
      <c r="B28" t="s">
        <v>820</v>
      </c>
      <c r="C28" t="s">
        <v>821</v>
      </c>
    </row>
    <row r="29" spans="1:3" hidden="1">
      <c r="A29" t="s">
        <v>24</v>
      </c>
      <c r="B29" t="s">
        <v>822</v>
      </c>
      <c r="C29" t="s">
        <v>823</v>
      </c>
    </row>
    <row r="30" spans="1:3">
      <c r="A30" t="s">
        <v>24</v>
      </c>
      <c r="B30" t="s">
        <v>824</v>
      </c>
      <c r="C30" t="s">
        <v>825</v>
      </c>
    </row>
    <row r="31" spans="1:3" hidden="1">
      <c r="A31" t="s">
        <v>24</v>
      </c>
      <c r="B31" t="s">
        <v>826</v>
      </c>
      <c r="C31" t="s">
        <v>719</v>
      </c>
    </row>
    <row r="32" spans="1:3" hidden="1">
      <c r="A32" t="s">
        <v>24</v>
      </c>
      <c r="B32" t="s">
        <v>827</v>
      </c>
      <c r="C32" t="s">
        <v>720</v>
      </c>
    </row>
    <row r="33" spans="1:3" hidden="1">
      <c r="A33" t="s">
        <v>24</v>
      </c>
      <c r="B33" t="s">
        <v>828</v>
      </c>
      <c r="C33" t="s">
        <v>829</v>
      </c>
    </row>
    <row r="34" spans="1:3" hidden="1">
      <c r="A34" t="s">
        <v>24</v>
      </c>
      <c r="B34" t="s">
        <v>830</v>
      </c>
      <c r="C34" t="s">
        <v>831</v>
      </c>
    </row>
    <row r="35" spans="1:3" hidden="1">
      <c r="A35" t="s">
        <v>24</v>
      </c>
      <c r="B35" t="s">
        <v>832</v>
      </c>
      <c r="C35" t="s">
        <v>833</v>
      </c>
    </row>
    <row r="36" spans="1:3" hidden="1">
      <c r="A36" t="s">
        <v>24</v>
      </c>
      <c r="B36" t="s">
        <v>834</v>
      </c>
      <c r="C36" t="s">
        <v>835</v>
      </c>
    </row>
    <row r="37" spans="1:3" hidden="1">
      <c r="A37" t="s">
        <v>24</v>
      </c>
      <c r="B37" t="s">
        <v>836</v>
      </c>
      <c r="C37" t="s">
        <v>34</v>
      </c>
    </row>
    <row r="38" spans="1:3" hidden="1">
      <c r="A38" t="s">
        <v>837</v>
      </c>
      <c r="B38" t="s">
        <v>838</v>
      </c>
      <c r="C38" t="s">
        <v>839</v>
      </c>
    </row>
    <row r="39" spans="1:3" hidden="1">
      <c r="A39" t="s">
        <v>837</v>
      </c>
      <c r="B39" t="s">
        <v>840</v>
      </c>
      <c r="C39" t="s">
        <v>841</v>
      </c>
    </row>
    <row r="40" spans="1:3" hidden="1">
      <c r="A40" t="s">
        <v>837</v>
      </c>
      <c r="B40" t="s">
        <v>842</v>
      </c>
      <c r="C40" t="s">
        <v>843</v>
      </c>
    </row>
    <row r="41" spans="1:3" hidden="1">
      <c r="A41" t="s">
        <v>837</v>
      </c>
      <c r="B41" t="s">
        <v>844</v>
      </c>
      <c r="C41" t="s">
        <v>845</v>
      </c>
    </row>
    <row r="42" spans="1:3" hidden="1">
      <c r="A42" t="s">
        <v>837</v>
      </c>
      <c r="B42" t="s">
        <v>846</v>
      </c>
      <c r="C42" t="s">
        <v>847</v>
      </c>
    </row>
    <row r="43" spans="1:3" hidden="1">
      <c r="A43" t="s">
        <v>837</v>
      </c>
      <c r="B43" t="s">
        <v>848</v>
      </c>
      <c r="C43" t="s">
        <v>166</v>
      </c>
    </row>
    <row r="44" spans="1:3" hidden="1">
      <c r="A44" t="s">
        <v>837</v>
      </c>
      <c r="B44" t="s">
        <v>849</v>
      </c>
      <c r="C44" t="s">
        <v>167</v>
      </c>
    </row>
    <row r="45" spans="1:3" hidden="1">
      <c r="A45" t="s">
        <v>837</v>
      </c>
      <c r="B45" t="s">
        <v>850</v>
      </c>
      <c r="C45" t="s">
        <v>851</v>
      </c>
    </row>
    <row r="46" spans="1:3" hidden="1">
      <c r="A46" t="s">
        <v>837</v>
      </c>
      <c r="B46" t="s">
        <v>852</v>
      </c>
      <c r="C46" t="s">
        <v>853</v>
      </c>
    </row>
    <row r="47" spans="1:3" hidden="1">
      <c r="A47" t="s">
        <v>837</v>
      </c>
      <c r="B47" t="s">
        <v>854</v>
      </c>
      <c r="C47" t="s">
        <v>855</v>
      </c>
    </row>
    <row r="48" spans="1:3" hidden="1">
      <c r="A48" t="s">
        <v>837</v>
      </c>
      <c r="B48" t="s">
        <v>856</v>
      </c>
      <c r="C48" t="s">
        <v>857</v>
      </c>
    </row>
    <row r="49" spans="1:3" hidden="1">
      <c r="A49" t="s">
        <v>837</v>
      </c>
      <c r="B49" t="s">
        <v>858</v>
      </c>
      <c r="C49" t="s">
        <v>859</v>
      </c>
    </row>
    <row r="50" spans="1:3" hidden="1">
      <c r="A50" t="s">
        <v>837</v>
      </c>
      <c r="B50" t="s">
        <v>860</v>
      </c>
      <c r="C50" t="s">
        <v>861</v>
      </c>
    </row>
    <row r="51" spans="1:3" hidden="1">
      <c r="A51" t="s">
        <v>862</v>
      </c>
      <c r="B51" t="s">
        <v>863</v>
      </c>
      <c r="C51" t="s">
        <v>716</v>
      </c>
    </row>
    <row r="52" spans="1:3" hidden="1">
      <c r="A52" t="s">
        <v>862</v>
      </c>
      <c r="B52" t="s">
        <v>864</v>
      </c>
      <c r="C52" t="s">
        <v>717</v>
      </c>
    </row>
    <row r="53" spans="1:3" hidden="1">
      <c r="A53" t="s">
        <v>862</v>
      </c>
      <c r="B53" t="s">
        <v>865</v>
      </c>
      <c r="C53" t="s">
        <v>178</v>
      </c>
    </row>
    <row r="54" spans="1:3" hidden="1">
      <c r="A54" t="s">
        <v>862</v>
      </c>
      <c r="B54" t="s">
        <v>866</v>
      </c>
      <c r="C54" t="s">
        <v>180</v>
      </c>
    </row>
    <row r="55" spans="1:3" hidden="1">
      <c r="A55" t="s">
        <v>862</v>
      </c>
      <c r="B55" t="s">
        <v>867</v>
      </c>
      <c r="C55" t="s">
        <v>182</v>
      </c>
    </row>
    <row r="56" spans="1:3" hidden="1">
      <c r="A56" t="s">
        <v>862</v>
      </c>
      <c r="B56" t="s">
        <v>868</v>
      </c>
      <c r="C56" t="s">
        <v>869</v>
      </c>
    </row>
    <row r="57" spans="1:3" hidden="1">
      <c r="A57" t="s">
        <v>862</v>
      </c>
      <c r="B57" t="s">
        <v>870</v>
      </c>
      <c r="C57" t="s">
        <v>871</v>
      </c>
    </row>
    <row r="58" spans="1:3" hidden="1">
      <c r="A58" t="s">
        <v>862</v>
      </c>
      <c r="B58" t="s">
        <v>872</v>
      </c>
      <c r="C58" t="s">
        <v>873</v>
      </c>
    </row>
    <row r="59" spans="1:3" hidden="1">
      <c r="A59" t="s">
        <v>862</v>
      </c>
      <c r="B59" t="s">
        <v>874</v>
      </c>
      <c r="C59" t="s">
        <v>188</v>
      </c>
    </row>
    <row r="60" spans="1:3" hidden="1">
      <c r="A60" t="s">
        <v>862</v>
      </c>
      <c r="B60" t="s">
        <v>875</v>
      </c>
      <c r="C60" t="s">
        <v>876</v>
      </c>
    </row>
    <row r="61" spans="1:3" hidden="1">
      <c r="A61" t="s">
        <v>862</v>
      </c>
      <c r="B61" t="s">
        <v>877</v>
      </c>
      <c r="C61" t="s">
        <v>878</v>
      </c>
    </row>
    <row r="62" spans="1:3" hidden="1">
      <c r="A62" t="s">
        <v>862</v>
      </c>
      <c r="B62" t="s">
        <v>879</v>
      </c>
      <c r="C62" t="s">
        <v>880</v>
      </c>
    </row>
    <row r="63" spans="1:3" hidden="1">
      <c r="A63" t="s">
        <v>49</v>
      </c>
      <c r="B63" t="s">
        <v>881</v>
      </c>
      <c r="C63" t="s">
        <v>13</v>
      </c>
    </row>
    <row r="64" spans="1:3" hidden="1">
      <c r="A64" t="s">
        <v>49</v>
      </c>
      <c r="B64" t="s">
        <v>882</v>
      </c>
      <c r="C64" t="s">
        <v>12</v>
      </c>
    </row>
    <row r="65" spans="1:3" hidden="1">
      <c r="A65" t="s">
        <v>49</v>
      </c>
      <c r="B65" t="s">
        <v>883</v>
      </c>
      <c r="C65" t="s">
        <v>884</v>
      </c>
    </row>
    <row r="66" spans="1:3" hidden="1">
      <c r="A66" t="s">
        <v>49</v>
      </c>
      <c r="B66" t="s">
        <v>885</v>
      </c>
      <c r="C66" t="s">
        <v>886</v>
      </c>
    </row>
    <row r="67" spans="1:3" hidden="1">
      <c r="A67" t="s">
        <v>51</v>
      </c>
      <c r="B67" t="s">
        <v>887</v>
      </c>
      <c r="C67" t="s">
        <v>52</v>
      </c>
    </row>
    <row r="68" spans="1:3" hidden="1">
      <c r="A68" t="s">
        <v>51</v>
      </c>
      <c r="B68" t="s">
        <v>888</v>
      </c>
      <c r="C68" t="s">
        <v>53</v>
      </c>
    </row>
    <row r="69" spans="1:3" hidden="1">
      <c r="A69" t="s">
        <v>51</v>
      </c>
      <c r="B69" t="s">
        <v>889</v>
      </c>
      <c r="C69" t="s">
        <v>54</v>
      </c>
    </row>
    <row r="70" spans="1:3" hidden="1">
      <c r="A70" t="s">
        <v>51</v>
      </c>
      <c r="B70" t="s">
        <v>890</v>
      </c>
      <c r="C70" t="s">
        <v>55</v>
      </c>
    </row>
    <row r="71" spans="1:3" hidden="1">
      <c r="A71" t="s">
        <v>891</v>
      </c>
      <c r="B71" t="s">
        <v>892</v>
      </c>
      <c r="C71" t="s">
        <v>893</v>
      </c>
    </row>
    <row r="72" spans="1:3" hidden="1">
      <c r="A72" t="s">
        <v>891</v>
      </c>
      <c r="B72" t="s">
        <v>894</v>
      </c>
      <c r="C72" t="s">
        <v>895</v>
      </c>
    </row>
    <row r="73" spans="1:3" hidden="1">
      <c r="A73" t="s">
        <v>891</v>
      </c>
      <c r="B73" t="s">
        <v>896</v>
      </c>
      <c r="C73" t="s">
        <v>897</v>
      </c>
    </row>
    <row r="74" spans="1:3" hidden="1">
      <c r="A74" t="s">
        <v>891</v>
      </c>
      <c r="B74" t="s">
        <v>898</v>
      </c>
      <c r="C74" t="s">
        <v>899</v>
      </c>
    </row>
    <row r="75" spans="1:3" hidden="1">
      <c r="A75" t="s">
        <v>891</v>
      </c>
      <c r="B75" t="s">
        <v>900</v>
      </c>
      <c r="C75" t="s">
        <v>901</v>
      </c>
    </row>
    <row r="76" spans="1:3" hidden="1">
      <c r="A76" t="s">
        <v>891</v>
      </c>
      <c r="B76" t="s">
        <v>902</v>
      </c>
      <c r="C76" t="s">
        <v>903</v>
      </c>
    </row>
    <row r="77" spans="1:3" hidden="1">
      <c r="A77" t="s">
        <v>891</v>
      </c>
      <c r="B77" t="s">
        <v>904</v>
      </c>
      <c r="C77" t="s">
        <v>905</v>
      </c>
    </row>
    <row r="78" spans="1:3" hidden="1">
      <c r="A78" t="s">
        <v>891</v>
      </c>
      <c r="B78" t="s">
        <v>906</v>
      </c>
      <c r="C78" t="s">
        <v>907</v>
      </c>
    </row>
    <row r="79" spans="1:3" hidden="1">
      <c r="A79" t="s">
        <v>891</v>
      </c>
      <c r="B79" t="s">
        <v>908</v>
      </c>
      <c r="C79" t="s">
        <v>909</v>
      </c>
    </row>
    <row r="80" spans="1:3" hidden="1">
      <c r="A80" t="s">
        <v>910</v>
      </c>
      <c r="B80" t="s">
        <v>911</v>
      </c>
      <c r="C80" t="s">
        <v>912</v>
      </c>
    </row>
    <row r="81" spans="1:3" hidden="1">
      <c r="A81" t="s">
        <v>910</v>
      </c>
      <c r="B81" t="s">
        <v>913</v>
      </c>
      <c r="C81" t="s">
        <v>914</v>
      </c>
    </row>
    <row r="82" spans="1:3" hidden="1">
      <c r="A82" t="s">
        <v>910</v>
      </c>
      <c r="B82" t="s">
        <v>915</v>
      </c>
      <c r="C82" t="s">
        <v>69</v>
      </c>
    </row>
    <row r="83" spans="1:3" hidden="1">
      <c r="A83" t="s">
        <v>910</v>
      </c>
      <c r="B83" t="s">
        <v>916</v>
      </c>
      <c r="C83" t="s">
        <v>917</v>
      </c>
    </row>
    <row r="84" spans="1:3" hidden="1">
      <c r="A84" t="s">
        <v>910</v>
      </c>
      <c r="B84" t="s">
        <v>918</v>
      </c>
      <c r="C84" t="s">
        <v>919</v>
      </c>
    </row>
    <row r="85" spans="1:3" hidden="1">
      <c r="A85" t="s">
        <v>910</v>
      </c>
      <c r="B85" t="s">
        <v>920</v>
      </c>
      <c r="C85" t="s">
        <v>921</v>
      </c>
    </row>
    <row r="86" spans="1:3" hidden="1">
      <c r="A86" t="s">
        <v>910</v>
      </c>
      <c r="B86" t="s">
        <v>922</v>
      </c>
      <c r="C86" t="s">
        <v>923</v>
      </c>
    </row>
    <row r="87" spans="1:3" hidden="1">
      <c r="A87" t="s">
        <v>910</v>
      </c>
      <c r="B87" t="s">
        <v>924</v>
      </c>
      <c r="C87" t="s">
        <v>74</v>
      </c>
    </row>
    <row r="88" spans="1:3" hidden="1">
      <c r="A88" t="s">
        <v>910</v>
      </c>
      <c r="B88" t="s">
        <v>925</v>
      </c>
      <c r="C88" t="s">
        <v>762</v>
      </c>
    </row>
    <row r="89" spans="1:3" hidden="1">
      <c r="A89" t="s">
        <v>910</v>
      </c>
      <c r="B89" t="s">
        <v>926</v>
      </c>
      <c r="C89" t="s">
        <v>763</v>
      </c>
    </row>
    <row r="90" spans="1:3" hidden="1">
      <c r="A90" t="s">
        <v>910</v>
      </c>
      <c r="B90" t="s">
        <v>927</v>
      </c>
      <c r="C90" t="s">
        <v>928</v>
      </c>
    </row>
    <row r="91" spans="1:3" hidden="1">
      <c r="A91" t="s">
        <v>910</v>
      </c>
      <c r="B91" t="s">
        <v>929</v>
      </c>
      <c r="C91" t="s">
        <v>930</v>
      </c>
    </row>
    <row r="92" spans="1:3" hidden="1">
      <c r="A92" t="s">
        <v>910</v>
      </c>
      <c r="B92" t="s">
        <v>931</v>
      </c>
      <c r="C92" t="s">
        <v>932</v>
      </c>
    </row>
    <row r="93" spans="1:3" hidden="1">
      <c r="A93" t="s">
        <v>910</v>
      </c>
      <c r="B93" t="s">
        <v>933</v>
      </c>
      <c r="C93" t="s">
        <v>934</v>
      </c>
    </row>
    <row r="94" spans="1:3" hidden="1">
      <c r="A94" t="s">
        <v>910</v>
      </c>
      <c r="B94" t="s">
        <v>935</v>
      </c>
      <c r="C94" t="s">
        <v>936</v>
      </c>
    </row>
    <row r="95" spans="1:3" hidden="1">
      <c r="A95" t="s">
        <v>910</v>
      </c>
      <c r="B95" t="s">
        <v>937</v>
      </c>
      <c r="C95" t="s">
        <v>755</v>
      </c>
    </row>
    <row r="96" spans="1:3" hidden="1">
      <c r="A96" t="s">
        <v>910</v>
      </c>
      <c r="B96" t="s">
        <v>938</v>
      </c>
      <c r="C96" t="s">
        <v>939</v>
      </c>
    </row>
    <row r="97" spans="1:3" hidden="1">
      <c r="A97" t="s">
        <v>910</v>
      </c>
      <c r="B97" t="s">
        <v>940</v>
      </c>
      <c r="C97" t="s">
        <v>941</v>
      </c>
    </row>
    <row r="98" spans="1:3" hidden="1">
      <c r="A98" t="s">
        <v>910</v>
      </c>
      <c r="B98" t="s">
        <v>942</v>
      </c>
      <c r="C98" t="s">
        <v>943</v>
      </c>
    </row>
    <row r="99" spans="1:3" hidden="1">
      <c r="A99" t="s">
        <v>944</v>
      </c>
      <c r="C99" t="s">
        <v>77</v>
      </c>
    </row>
    <row r="100" spans="1:3" hidden="1">
      <c r="A100" t="s">
        <v>944</v>
      </c>
      <c r="C100" t="s">
        <v>945</v>
      </c>
    </row>
    <row r="101" spans="1:3" hidden="1">
      <c r="A101" t="s">
        <v>944</v>
      </c>
      <c r="C101" t="s">
        <v>946</v>
      </c>
    </row>
    <row r="102" spans="1:3" hidden="1">
      <c r="A102" t="s">
        <v>944</v>
      </c>
      <c r="C102" t="s">
        <v>80</v>
      </c>
    </row>
    <row r="103" spans="1:3" hidden="1">
      <c r="A103" t="s">
        <v>81</v>
      </c>
      <c r="B103" t="s">
        <v>947</v>
      </c>
      <c r="C103" t="s">
        <v>948</v>
      </c>
    </row>
    <row r="104" spans="1:3" hidden="1">
      <c r="A104" t="s">
        <v>81</v>
      </c>
      <c r="B104" t="s">
        <v>949</v>
      </c>
      <c r="C104" t="s">
        <v>950</v>
      </c>
    </row>
    <row r="105" spans="1:3" hidden="1">
      <c r="A105" t="s">
        <v>81</v>
      </c>
      <c r="B105" t="s">
        <v>137</v>
      </c>
      <c r="C105" t="s">
        <v>951</v>
      </c>
    </row>
    <row r="106" spans="1:3" hidden="1">
      <c r="A106" t="s">
        <v>81</v>
      </c>
      <c r="B106" t="s">
        <v>137</v>
      </c>
      <c r="C106" t="s">
        <v>85</v>
      </c>
    </row>
    <row r="107" spans="1:3" hidden="1">
      <c r="A107" t="s">
        <v>81</v>
      </c>
      <c r="B107" t="s">
        <v>137</v>
      </c>
      <c r="C107" t="s">
        <v>86</v>
      </c>
    </row>
    <row r="108" spans="1:3" hidden="1">
      <c r="A108" t="s">
        <v>81</v>
      </c>
      <c r="B108" t="s">
        <v>952</v>
      </c>
      <c r="C108" t="s">
        <v>748</v>
      </c>
    </row>
    <row r="109" spans="1:3" hidden="1">
      <c r="A109" t="s">
        <v>81</v>
      </c>
      <c r="B109" t="s">
        <v>137</v>
      </c>
      <c r="C109" t="s">
        <v>87</v>
      </c>
    </row>
    <row r="110" spans="1:3" hidden="1">
      <c r="A110" t="s">
        <v>81</v>
      </c>
      <c r="B110" t="s">
        <v>137</v>
      </c>
      <c r="C110" t="s">
        <v>953</v>
      </c>
    </row>
    <row r="111" spans="1:3" hidden="1">
      <c r="A111" t="s">
        <v>81</v>
      </c>
      <c r="B111" t="s">
        <v>954</v>
      </c>
      <c r="C111" t="s">
        <v>955</v>
      </c>
    </row>
    <row r="112" spans="1:3">
      <c r="A112" t="s">
        <v>89</v>
      </c>
      <c r="B112" t="s">
        <v>956</v>
      </c>
      <c r="C112" t="s">
        <v>90</v>
      </c>
    </row>
    <row r="113" spans="1:3" hidden="1">
      <c r="A113" t="s">
        <v>89</v>
      </c>
      <c r="B113" t="s">
        <v>958</v>
      </c>
      <c r="C113" t="s">
        <v>91</v>
      </c>
    </row>
    <row r="114" spans="1:3" hidden="1">
      <c r="A114" t="s">
        <v>89</v>
      </c>
      <c r="B114" t="s">
        <v>959</v>
      </c>
      <c r="C114" t="s">
        <v>960</v>
      </c>
    </row>
    <row r="115" spans="1:3" hidden="1">
      <c r="A115" t="s">
        <v>89</v>
      </c>
      <c r="B115" t="s">
        <v>961</v>
      </c>
      <c r="C115" t="s">
        <v>962</v>
      </c>
    </row>
    <row r="116" spans="1:3" hidden="1">
      <c r="A116" t="s">
        <v>89</v>
      </c>
      <c r="B116" t="s">
        <v>963</v>
      </c>
      <c r="C116" t="s">
        <v>964</v>
      </c>
    </row>
    <row r="117" spans="1:3" hidden="1">
      <c r="A117" t="s">
        <v>89</v>
      </c>
      <c r="B117" t="s">
        <v>965</v>
      </c>
      <c r="C117" t="s">
        <v>966</v>
      </c>
    </row>
    <row r="118" spans="1:3" hidden="1">
      <c r="A118" t="s">
        <v>89</v>
      </c>
      <c r="B118" t="s">
        <v>967</v>
      </c>
      <c r="C118" t="s">
        <v>968</v>
      </c>
    </row>
    <row r="119" spans="1:3" hidden="1">
      <c r="A119" t="s">
        <v>89</v>
      </c>
      <c r="B119" t="s">
        <v>969</v>
      </c>
      <c r="C119" t="s">
        <v>970</v>
      </c>
    </row>
    <row r="120" spans="1:3" hidden="1">
      <c r="A120" t="s">
        <v>89</v>
      </c>
      <c r="B120" t="s">
        <v>971</v>
      </c>
      <c r="C120" t="s">
        <v>972</v>
      </c>
    </row>
    <row r="121" spans="1:3" hidden="1">
      <c r="A121" t="s">
        <v>89</v>
      </c>
      <c r="B121" t="s">
        <v>973</v>
      </c>
      <c r="C121" t="s">
        <v>974</v>
      </c>
    </row>
    <row r="122" spans="1:3" hidden="1">
      <c r="A122" t="s">
        <v>89</v>
      </c>
      <c r="B122" t="s">
        <v>975</v>
      </c>
      <c r="C122" t="s">
        <v>976</v>
      </c>
    </row>
    <row r="123" spans="1:3">
      <c r="A123" t="s">
        <v>89</v>
      </c>
      <c r="B123" t="s">
        <v>977</v>
      </c>
      <c r="C123" t="s">
        <v>978</v>
      </c>
    </row>
    <row r="124" spans="1:3">
      <c r="A124" t="s">
        <v>89</v>
      </c>
      <c r="B124" t="s">
        <v>979</v>
      </c>
      <c r="C124" t="s">
        <v>980</v>
      </c>
    </row>
    <row r="125" spans="1:3" hidden="1">
      <c r="A125" t="s">
        <v>981</v>
      </c>
      <c r="B125" t="s">
        <v>982</v>
      </c>
      <c r="C125" t="s">
        <v>983</v>
      </c>
    </row>
    <row r="126" spans="1:3" hidden="1">
      <c r="A126" t="s">
        <v>981</v>
      </c>
      <c r="B126" t="s">
        <v>984</v>
      </c>
      <c r="C126" t="s">
        <v>985</v>
      </c>
    </row>
    <row r="127" spans="1:3" hidden="1">
      <c r="A127" t="s">
        <v>981</v>
      </c>
      <c r="B127" t="s">
        <v>986</v>
      </c>
      <c r="C127" t="s">
        <v>987</v>
      </c>
    </row>
    <row r="128" spans="1:3" hidden="1">
      <c r="A128" t="s">
        <v>981</v>
      </c>
      <c r="B128" t="s">
        <v>988</v>
      </c>
      <c r="C128" t="s">
        <v>989</v>
      </c>
    </row>
    <row r="129" spans="1:3" hidden="1">
      <c r="A129" t="s">
        <v>981</v>
      </c>
      <c r="B129" t="s">
        <v>990</v>
      </c>
      <c r="C129" t="s">
        <v>991</v>
      </c>
    </row>
    <row r="130" spans="1:3" hidden="1">
      <c r="A130" t="s">
        <v>981</v>
      </c>
      <c r="B130" t="s">
        <v>992</v>
      </c>
      <c r="C130" t="s">
        <v>993</v>
      </c>
    </row>
    <row r="131" spans="1:3" hidden="1">
      <c r="A131" t="s">
        <v>981</v>
      </c>
      <c r="B131" t="s">
        <v>994</v>
      </c>
      <c r="C131" t="s">
        <v>995</v>
      </c>
    </row>
    <row r="132" spans="1:3">
      <c r="A132" t="s">
        <v>981</v>
      </c>
      <c r="B132" t="s">
        <v>996</v>
      </c>
      <c r="C132" t="s">
        <v>997</v>
      </c>
    </row>
    <row r="133" spans="1:3">
      <c r="A133" t="s">
        <v>981</v>
      </c>
      <c r="B133" t="s">
        <v>998</v>
      </c>
      <c r="C133" t="s">
        <v>751</v>
      </c>
    </row>
    <row r="134" spans="1:3">
      <c r="A134" t="s">
        <v>981</v>
      </c>
      <c r="B134" t="s">
        <v>999</v>
      </c>
      <c r="C134" t="s">
        <v>1000</v>
      </c>
    </row>
    <row r="135" spans="1:3">
      <c r="A135" t="s">
        <v>981</v>
      </c>
      <c r="B135" t="s">
        <v>1001</v>
      </c>
      <c r="C135" t="s">
        <v>1002</v>
      </c>
    </row>
    <row r="136" spans="1:3">
      <c r="A136" t="s">
        <v>981</v>
      </c>
      <c r="B136" t="s">
        <v>1003</v>
      </c>
      <c r="C136" t="s">
        <v>1004</v>
      </c>
    </row>
    <row r="137" spans="1:3">
      <c r="A137" t="s">
        <v>981</v>
      </c>
      <c r="B137" t="s">
        <v>1005</v>
      </c>
      <c r="C137" t="s">
        <v>1006</v>
      </c>
    </row>
    <row r="138" spans="1:3">
      <c r="A138" t="s">
        <v>981</v>
      </c>
      <c r="B138" t="s">
        <v>137</v>
      </c>
      <c r="C138" t="s">
        <v>1007</v>
      </c>
    </row>
    <row r="139" spans="1:3">
      <c r="A139" t="s">
        <v>981</v>
      </c>
      <c r="B139" t="s">
        <v>1008</v>
      </c>
      <c r="C139" t="s">
        <v>1009</v>
      </c>
    </row>
    <row r="140" spans="1:3" hidden="1">
      <c r="A140" t="s">
        <v>111</v>
      </c>
      <c r="C140" t="s">
        <v>1010</v>
      </c>
    </row>
    <row r="141" spans="1:3" hidden="1">
      <c r="A141" t="s">
        <v>111</v>
      </c>
      <c r="C141" t="s">
        <v>1011</v>
      </c>
    </row>
    <row r="142" spans="1:3" hidden="1">
      <c r="A142" t="s">
        <v>111</v>
      </c>
      <c r="C142" t="s">
        <v>1012</v>
      </c>
    </row>
    <row r="143" spans="1:3" hidden="1">
      <c r="A143" t="s">
        <v>111</v>
      </c>
      <c r="C143" t="s">
        <v>1013</v>
      </c>
    </row>
    <row r="144" spans="1:3" hidden="1">
      <c r="A144" t="s">
        <v>116</v>
      </c>
      <c r="B144" t="s">
        <v>1014</v>
      </c>
      <c r="C144" t="s">
        <v>1015</v>
      </c>
    </row>
    <row r="145" spans="1:3" hidden="1">
      <c r="A145" t="s">
        <v>116</v>
      </c>
      <c r="B145" t="s">
        <v>1016</v>
      </c>
      <c r="C145" t="s">
        <v>1017</v>
      </c>
    </row>
    <row r="146" spans="1:3" hidden="1">
      <c r="A146" t="s">
        <v>116</v>
      </c>
      <c r="B146" t="s">
        <v>1018</v>
      </c>
      <c r="C146" t="s">
        <v>1019</v>
      </c>
    </row>
    <row r="147" spans="1:3" hidden="1">
      <c r="A147" t="s">
        <v>116</v>
      </c>
      <c r="B147" t="s">
        <v>1020</v>
      </c>
      <c r="C147" t="s">
        <v>1021</v>
      </c>
    </row>
    <row r="148" spans="1:3" hidden="1">
      <c r="A148" t="s">
        <v>116</v>
      </c>
      <c r="B148" t="s">
        <v>1022</v>
      </c>
      <c r="C148" t="s">
        <v>1023</v>
      </c>
    </row>
    <row r="149" spans="1:3" hidden="1">
      <c r="A149" t="s">
        <v>116</v>
      </c>
      <c r="B149" t="s">
        <v>137</v>
      </c>
      <c r="C149" t="s">
        <v>1024</v>
      </c>
    </row>
    <row r="150" spans="1:3">
      <c r="A150" t="s">
        <v>123</v>
      </c>
      <c r="B150" t="s">
        <v>1025</v>
      </c>
      <c r="C150" t="s">
        <v>1026</v>
      </c>
    </row>
    <row r="151" spans="1:3">
      <c r="A151" t="s">
        <v>123</v>
      </c>
      <c r="B151" t="s">
        <v>1027</v>
      </c>
      <c r="C151" t="s">
        <v>1028</v>
      </c>
    </row>
    <row r="152" spans="1:3">
      <c r="A152" t="s">
        <v>123</v>
      </c>
      <c r="B152" t="s">
        <v>1029</v>
      </c>
      <c r="C152" t="s">
        <v>1030</v>
      </c>
    </row>
    <row r="153" spans="1:3">
      <c r="A153" t="s">
        <v>123</v>
      </c>
      <c r="B153" t="s">
        <v>1031</v>
      </c>
      <c r="C153" t="s">
        <v>1032</v>
      </c>
    </row>
    <row r="154" spans="1:3" hidden="1">
      <c r="A154" t="s">
        <v>123</v>
      </c>
      <c r="B154" t="s">
        <v>1033</v>
      </c>
      <c r="C154" t="s">
        <v>1034</v>
      </c>
    </row>
    <row r="155" spans="1:3" hidden="1">
      <c r="A155" t="s">
        <v>123</v>
      </c>
      <c r="B155" t="s">
        <v>137</v>
      </c>
      <c r="C155" t="s">
        <v>126</v>
      </c>
    </row>
    <row r="156" spans="1:3">
      <c r="A156" t="s">
        <v>123</v>
      </c>
      <c r="B156" t="s">
        <v>1035</v>
      </c>
      <c r="C156" t="s">
        <v>1036</v>
      </c>
    </row>
    <row r="157" spans="1:3">
      <c r="A157" t="s">
        <v>123</v>
      </c>
      <c r="B157" t="s">
        <v>375</v>
      </c>
      <c r="C157" t="s">
        <v>242</v>
      </c>
    </row>
    <row r="158" spans="1:3">
      <c r="A158" t="s">
        <v>123</v>
      </c>
      <c r="B158" t="s">
        <v>374</v>
      </c>
      <c r="C158" t="s">
        <v>245</v>
      </c>
    </row>
    <row r="159" spans="1:3" hidden="1">
      <c r="A159" t="s">
        <v>123</v>
      </c>
      <c r="B159" t="s">
        <v>1037</v>
      </c>
      <c r="C159" t="s">
        <v>128</v>
      </c>
    </row>
    <row r="160" spans="1:3" hidden="1">
      <c r="A160" t="s">
        <v>123</v>
      </c>
      <c r="B160" t="s">
        <v>1038</v>
      </c>
      <c r="C160" t="s">
        <v>129</v>
      </c>
    </row>
    <row r="161" spans="1:3" hidden="1">
      <c r="A161" t="s">
        <v>123</v>
      </c>
      <c r="B161" t="s">
        <v>1039</v>
      </c>
      <c r="C161" t="s">
        <v>1040</v>
      </c>
    </row>
    <row r="162" spans="1:3" hidden="1">
      <c r="A162" t="s">
        <v>123</v>
      </c>
      <c r="B162" t="s">
        <v>1041</v>
      </c>
      <c r="C162" t="s">
        <v>1042</v>
      </c>
    </row>
    <row r="163" spans="1:3" hidden="1">
      <c r="A163" t="s">
        <v>123</v>
      </c>
      <c r="B163" t="s">
        <v>1043</v>
      </c>
      <c r="C163" t="s">
        <v>1044</v>
      </c>
    </row>
    <row r="164" spans="1:3" hidden="1">
      <c r="A164" t="s">
        <v>123</v>
      </c>
      <c r="B164" t="s">
        <v>1045</v>
      </c>
      <c r="C164" t="s">
        <v>1046</v>
      </c>
    </row>
    <row r="165" spans="1:3" hidden="1">
      <c r="A165" t="s">
        <v>123</v>
      </c>
      <c r="B165" t="s">
        <v>1047</v>
      </c>
      <c r="C165" t="s">
        <v>1048</v>
      </c>
    </row>
    <row r="166" spans="1:3" hidden="1">
      <c r="A166" t="s">
        <v>123</v>
      </c>
      <c r="B166" t="s">
        <v>1049</v>
      </c>
      <c r="C166" t="s">
        <v>766</v>
      </c>
    </row>
    <row r="167" spans="1:3" hidden="1">
      <c r="A167" t="s">
        <v>123</v>
      </c>
      <c r="B167" t="s">
        <v>1050</v>
      </c>
      <c r="C167" t="s">
        <v>1051</v>
      </c>
    </row>
    <row r="168" spans="1:3" hidden="1">
      <c r="A168" t="s">
        <v>123</v>
      </c>
      <c r="B168" t="s">
        <v>1052</v>
      </c>
      <c r="C168" t="s">
        <v>1053</v>
      </c>
    </row>
    <row r="169" spans="1:3" hidden="1">
      <c r="A169" t="s">
        <v>123</v>
      </c>
      <c r="B169" t="s">
        <v>1054</v>
      </c>
      <c r="C169" t="s">
        <v>771</v>
      </c>
    </row>
    <row r="170" spans="1:3" hidden="1">
      <c r="A170" t="s">
        <v>123</v>
      </c>
      <c r="B170" t="s">
        <v>1055</v>
      </c>
      <c r="C170" t="s">
        <v>770</v>
      </c>
    </row>
    <row r="171" spans="1:3" hidden="1">
      <c r="A171" t="s">
        <v>123</v>
      </c>
      <c r="B171" t="s">
        <v>1056</v>
      </c>
      <c r="C171" t="s">
        <v>769</v>
      </c>
    </row>
    <row r="172" spans="1:3" hidden="1">
      <c r="A172" t="s">
        <v>123</v>
      </c>
      <c r="B172" t="s">
        <v>1057</v>
      </c>
      <c r="C172" t="s">
        <v>772</v>
      </c>
    </row>
    <row r="173" spans="1:3" hidden="1">
      <c r="A173" t="s">
        <v>123</v>
      </c>
      <c r="B173" t="s">
        <v>1058</v>
      </c>
      <c r="C173" t="s">
        <v>1059</v>
      </c>
    </row>
    <row r="174" spans="1:3" hidden="1">
      <c r="A174" t="s">
        <v>134</v>
      </c>
    </row>
    <row r="175" spans="1:3" hidden="1"/>
    <row r="176" spans="1:3" hidden="1"/>
    <row r="177" hidden="1"/>
    <row r="178" hidden="1"/>
    <row r="179" hidden="1"/>
  </sheetData>
  <phoneticPr fontId="2"/>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542A6-7BA6-4CBB-A91A-03D20E011639}">
  <sheetPr codeName="Sheet1">
    <tabColor theme="6" tint="0.59999389629810485"/>
    <pageSetUpPr fitToPage="1"/>
  </sheetPr>
  <dimension ref="A1:U258"/>
  <sheetViews>
    <sheetView zoomScaleNormal="100" zoomScaleSheetLayoutView="100" workbookViewId="0">
      <pane xSplit="4" ySplit="3" topLeftCell="E21" activePane="bottomRight" state="frozen"/>
      <selection pane="topRight" activeCell="E1" sqref="E1"/>
      <selection pane="bottomLeft" activeCell="A4" sqref="A4"/>
      <selection pane="bottomRight" activeCell="M236" sqref="M236"/>
    </sheetView>
  </sheetViews>
  <sheetFormatPr defaultColWidth="8.69921875" defaultRowHeight="18"/>
  <cols>
    <col min="1" max="3" width="8.69921875" style="55"/>
    <col min="4" max="4" width="26.19921875" style="55" customWidth="1"/>
    <col min="5" max="16384" width="8.69921875" style="55"/>
  </cols>
  <sheetData>
    <row r="1" spans="1:18" ht="27" thickBot="1">
      <c r="C1" s="56" t="s">
        <v>0</v>
      </c>
      <c r="D1" s="57"/>
      <c r="E1" s="57"/>
      <c r="F1" s="57"/>
      <c r="G1" s="57"/>
      <c r="H1" s="57"/>
      <c r="I1" s="57"/>
      <c r="J1" s="57"/>
      <c r="K1" s="57"/>
      <c r="L1" s="57"/>
      <c r="M1" s="58" t="s">
        <v>773</v>
      </c>
      <c r="N1" s="58" t="s">
        <v>1118</v>
      </c>
      <c r="O1" s="57" t="s">
        <v>1119</v>
      </c>
      <c r="P1" s="58"/>
      <c r="Q1" s="57"/>
    </row>
    <row r="2" spans="1:18" ht="20.55" customHeight="1" thickTop="1" thickBot="1">
      <c r="A2" s="154" t="s">
        <v>135</v>
      </c>
      <c r="B2" s="156" t="s">
        <v>1</v>
      </c>
      <c r="C2" s="157"/>
      <c r="D2" s="158"/>
      <c r="E2" s="162" t="s">
        <v>2</v>
      </c>
      <c r="F2" s="147"/>
      <c r="G2" s="163" t="s">
        <v>3</v>
      </c>
      <c r="H2" s="148"/>
      <c r="I2" s="163" t="s">
        <v>4</v>
      </c>
      <c r="J2" s="148"/>
      <c r="K2" s="147" t="s">
        <v>5</v>
      </c>
      <c r="L2" s="148"/>
      <c r="M2" s="147" t="s">
        <v>1064</v>
      </c>
      <c r="N2" s="148"/>
      <c r="O2" s="147" t="s">
        <v>1120</v>
      </c>
      <c r="P2" s="148"/>
      <c r="Q2" s="147" t="s">
        <v>6</v>
      </c>
      <c r="R2" s="149"/>
    </row>
    <row r="3" spans="1:18" ht="12" customHeight="1" thickTop="1" thickBot="1">
      <c r="A3" s="155"/>
      <c r="B3" s="159"/>
      <c r="C3" s="160"/>
      <c r="D3" s="161"/>
      <c r="E3" s="59" t="s">
        <v>7</v>
      </c>
      <c r="F3" s="60" t="s">
        <v>8</v>
      </c>
      <c r="G3" s="61" t="s">
        <v>7</v>
      </c>
      <c r="H3" s="60" t="s">
        <v>8</v>
      </c>
      <c r="I3" s="61" t="s">
        <v>7</v>
      </c>
      <c r="J3" s="62" t="s">
        <v>8</v>
      </c>
      <c r="K3" s="61" t="s">
        <v>7</v>
      </c>
      <c r="L3" s="62" t="s">
        <v>8</v>
      </c>
      <c r="M3" s="61" t="s">
        <v>7</v>
      </c>
      <c r="N3" s="62" t="s">
        <v>8</v>
      </c>
      <c r="O3" s="61" t="s">
        <v>7</v>
      </c>
      <c r="P3" s="62" t="s">
        <v>8</v>
      </c>
      <c r="Q3" s="61" t="s">
        <v>7</v>
      </c>
      <c r="R3" s="63" t="s">
        <v>8</v>
      </c>
    </row>
    <row r="4" spans="1:18" ht="16.05" customHeight="1" thickTop="1">
      <c r="A4" s="64"/>
      <c r="B4" s="150" t="s">
        <v>9</v>
      </c>
      <c r="C4" s="151"/>
      <c r="D4" s="152"/>
      <c r="E4" s="65"/>
      <c r="G4" s="66"/>
      <c r="I4" s="66"/>
      <c r="J4" s="67"/>
      <c r="K4" s="66"/>
      <c r="L4" s="67"/>
      <c r="M4" s="66"/>
      <c r="N4" s="67"/>
      <c r="O4" s="66"/>
      <c r="P4" s="67"/>
      <c r="Q4" s="68">
        <f>E4+G4+I4+K4+M4+O4</f>
        <v>0</v>
      </c>
      <c r="R4" s="69">
        <f>F4+H4+J4+L4+N4+P4</f>
        <v>0</v>
      </c>
    </row>
    <row r="5" spans="1:18" ht="16.05" customHeight="1">
      <c r="A5" s="70" t="s">
        <v>136</v>
      </c>
      <c r="B5" s="131" t="s">
        <v>10</v>
      </c>
      <c r="C5" s="132"/>
      <c r="D5" s="133"/>
      <c r="E5" s="71"/>
      <c r="F5" s="72"/>
      <c r="G5" s="73"/>
      <c r="H5" s="72"/>
      <c r="I5" s="73"/>
      <c r="J5" s="74"/>
      <c r="K5" s="73"/>
      <c r="L5" s="74"/>
      <c r="M5" s="73"/>
      <c r="N5" s="74"/>
      <c r="O5" s="73"/>
      <c r="P5" s="72"/>
      <c r="Q5" s="75">
        <f>E5+G5+I5+K5+M5+O5</f>
        <v>0</v>
      </c>
      <c r="R5" s="76">
        <f>F5+H5+J5+L5+N5+P5</f>
        <v>0</v>
      </c>
    </row>
    <row r="6" spans="1:18" ht="16.05" customHeight="1">
      <c r="A6" s="70" t="s">
        <v>138</v>
      </c>
      <c r="B6" s="131" t="s">
        <v>11</v>
      </c>
      <c r="C6" s="132"/>
      <c r="D6" s="133"/>
      <c r="E6" s="71"/>
      <c r="F6" s="72"/>
      <c r="G6" s="73"/>
      <c r="H6" s="72"/>
      <c r="I6" s="73"/>
      <c r="J6" s="74"/>
      <c r="K6" s="73"/>
      <c r="L6" s="74"/>
      <c r="M6" s="73"/>
      <c r="N6" s="74"/>
      <c r="O6" s="73"/>
      <c r="P6" s="72"/>
      <c r="Q6" s="75">
        <f t="shared" ref="Q6:R40" si="0">E6+G6+I6+K6+M6+O6</f>
        <v>0</v>
      </c>
      <c r="R6" s="76">
        <f t="shared" si="0"/>
        <v>0</v>
      </c>
    </row>
    <row r="7" spans="1:18" ht="16.05" customHeight="1">
      <c r="A7" s="70" t="s">
        <v>139</v>
      </c>
      <c r="B7" s="131" t="s">
        <v>12</v>
      </c>
      <c r="C7" s="132"/>
      <c r="D7" s="133"/>
      <c r="E7" s="71"/>
      <c r="F7" s="72"/>
      <c r="G7" s="73"/>
      <c r="H7" s="72"/>
      <c r="I7" s="73"/>
      <c r="J7" s="74"/>
      <c r="K7" s="73"/>
      <c r="L7" s="74"/>
      <c r="M7" s="73"/>
      <c r="N7" s="74"/>
      <c r="O7" s="73"/>
      <c r="P7" s="72"/>
      <c r="Q7" s="75">
        <f t="shared" si="0"/>
        <v>0</v>
      </c>
      <c r="R7" s="76">
        <f t="shared" si="0"/>
        <v>0</v>
      </c>
    </row>
    <row r="8" spans="1:18" ht="16.05" customHeight="1">
      <c r="A8" s="70" t="s">
        <v>140</v>
      </c>
      <c r="B8" s="131" t="s">
        <v>13</v>
      </c>
      <c r="C8" s="132"/>
      <c r="D8" s="133"/>
      <c r="E8" s="71"/>
      <c r="F8" s="72"/>
      <c r="G8" s="73"/>
      <c r="H8" s="72"/>
      <c r="I8" s="73"/>
      <c r="J8" s="74"/>
      <c r="K8" s="73"/>
      <c r="L8" s="74"/>
      <c r="M8" s="73"/>
      <c r="N8" s="74"/>
      <c r="O8" s="73"/>
      <c r="P8" s="72"/>
      <c r="Q8" s="75">
        <f t="shared" si="0"/>
        <v>0</v>
      </c>
      <c r="R8" s="76">
        <f t="shared" si="0"/>
        <v>0</v>
      </c>
    </row>
    <row r="9" spans="1:18" ht="16.05" customHeight="1">
      <c r="A9" s="70" t="s">
        <v>141</v>
      </c>
      <c r="B9" s="131" t="s">
        <v>14</v>
      </c>
      <c r="C9" s="132"/>
      <c r="D9" s="133"/>
      <c r="E9" s="71"/>
      <c r="F9" s="72"/>
      <c r="G9" s="73"/>
      <c r="H9" s="72"/>
      <c r="I9" s="73"/>
      <c r="J9" s="74"/>
      <c r="K9" s="73"/>
      <c r="L9" s="74"/>
      <c r="M9" s="73"/>
      <c r="N9" s="74"/>
      <c r="O9" s="73"/>
      <c r="P9" s="72"/>
      <c r="Q9" s="75">
        <f t="shared" si="0"/>
        <v>0</v>
      </c>
      <c r="R9" s="76">
        <f t="shared" si="0"/>
        <v>0</v>
      </c>
    </row>
    <row r="10" spans="1:18" ht="16.05" customHeight="1">
      <c r="A10" s="70" t="s">
        <v>142</v>
      </c>
      <c r="B10" s="131" t="s">
        <v>15</v>
      </c>
      <c r="C10" s="132"/>
      <c r="D10" s="133"/>
      <c r="E10" s="71"/>
      <c r="F10" s="72"/>
      <c r="G10" s="73"/>
      <c r="H10" s="72"/>
      <c r="I10" s="73"/>
      <c r="J10" s="74"/>
      <c r="K10" s="73"/>
      <c r="L10" s="74"/>
      <c r="M10" s="73"/>
      <c r="N10" s="74"/>
      <c r="O10" s="73"/>
      <c r="P10" s="72"/>
      <c r="Q10" s="75">
        <f t="shared" si="0"/>
        <v>0</v>
      </c>
      <c r="R10" s="76">
        <f t="shared" si="0"/>
        <v>0</v>
      </c>
    </row>
    <row r="11" spans="1:18" ht="16.05" customHeight="1">
      <c r="A11" s="70" t="s">
        <v>143</v>
      </c>
      <c r="B11" s="131" t="s">
        <v>16</v>
      </c>
      <c r="C11" s="132"/>
      <c r="D11" s="133"/>
      <c r="E11" s="71"/>
      <c r="F11" s="72"/>
      <c r="G11" s="73"/>
      <c r="H11" s="72"/>
      <c r="I11" s="73"/>
      <c r="J11" s="74"/>
      <c r="K11" s="73"/>
      <c r="L11" s="74"/>
      <c r="M11" s="73"/>
      <c r="N11" s="74"/>
      <c r="O11" s="73"/>
      <c r="P11" s="72"/>
      <c r="Q11" s="75">
        <f t="shared" si="0"/>
        <v>0</v>
      </c>
      <c r="R11" s="76">
        <f t="shared" si="0"/>
        <v>0</v>
      </c>
    </row>
    <row r="12" spans="1:18" ht="16.05" customHeight="1">
      <c r="A12" s="70" t="s">
        <v>673</v>
      </c>
      <c r="B12" s="131" t="s">
        <v>17</v>
      </c>
      <c r="C12" s="132"/>
      <c r="D12" s="133"/>
      <c r="E12" s="71"/>
      <c r="F12" s="72"/>
      <c r="G12" s="73"/>
      <c r="H12" s="72"/>
      <c r="I12" s="73"/>
      <c r="J12" s="74"/>
      <c r="K12" s="73"/>
      <c r="L12" s="74"/>
      <c r="M12" s="73"/>
      <c r="N12" s="74"/>
      <c r="O12" s="73"/>
      <c r="P12" s="72"/>
      <c r="Q12" s="75">
        <f t="shared" si="0"/>
        <v>0</v>
      </c>
      <c r="R12" s="76">
        <f t="shared" si="0"/>
        <v>0</v>
      </c>
    </row>
    <row r="13" spans="1:18" ht="16.05" customHeight="1">
      <c r="A13" s="70" t="s">
        <v>145</v>
      </c>
      <c r="B13" s="131" t="s">
        <v>18</v>
      </c>
      <c r="C13" s="132"/>
      <c r="D13" s="133"/>
      <c r="E13" s="71"/>
      <c r="F13" s="72"/>
      <c r="G13" s="73"/>
      <c r="H13" s="72"/>
      <c r="I13" s="73"/>
      <c r="J13" s="74"/>
      <c r="K13" s="73"/>
      <c r="L13" s="74"/>
      <c r="M13" s="73"/>
      <c r="N13" s="74"/>
      <c r="O13" s="73"/>
      <c r="P13" s="72"/>
      <c r="Q13" s="75">
        <f t="shared" si="0"/>
        <v>0</v>
      </c>
      <c r="R13" s="76">
        <f t="shared" si="0"/>
        <v>0</v>
      </c>
    </row>
    <row r="14" spans="1:18" ht="16.05" customHeight="1">
      <c r="A14" s="70" t="s">
        <v>146</v>
      </c>
      <c r="B14" s="131" t="s">
        <v>19</v>
      </c>
      <c r="C14" s="132"/>
      <c r="D14" s="133"/>
      <c r="E14" s="71"/>
      <c r="F14" s="72"/>
      <c r="G14" s="73"/>
      <c r="H14" s="72"/>
      <c r="I14" s="73"/>
      <c r="J14" s="74"/>
      <c r="K14" s="73"/>
      <c r="L14" s="74"/>
      <c r="M14" s="73"/>
      <c r="N14" s="74"/>
      <c r="O14" s="73"/>
      <c r="P14" s="72"/>
      <c r="Q14" s="75">
        <f t="shared" si="0"/>
        <v>0</v>
      </c>
      <c r="R14" s="76">
        <f t="shared" si="0"/>
        <v>0</v>
      </c>
    </row>
    <row r="15" spans="1:18" ht="16.05" customHeight="1">
      <c r="A15" s="70" t="s">
        <v>147</v>
      </c>
      <c r="B15" s="131" t="s">
        <v>20</v>
      </c>
      <c r="C15" s="132"/>
      <c r="D15" s="133"/>
      <c r="E15" s="71"/>
      <c r="F15" s="72"/>
      <c r="G15" s="73"/>
      <c r="H15" s="72"/>
      <c r="I15" s="73"/>
      <c r="J15" s="74"/>
      <c r="K15" s="73"/>
      <c r="L15" s="74"/>
      <c r="M15" s="73"/>
      <c r="N15" s="74"/>
      <c r="O15" s="73"/>
      <c r="P15" s="72"/>
      <c r="Q15" s="75">
        <f t="shared" si="0"/>
        <v>0</v>
      </c>
      <c r="R15" s="76">
        <f t="shared" si="0"/>
        <v>0</v>
      </c>
    </row>
    <row r="16" spans="1:18" ht="16.05" customHeight="1">
      <c r="A16" s="70" t="s">
        <v>148</v>
      </c>
      <c r="B16" s="131" t="s">
        <v>21</v>
      </c>
      <c r="C16" s="132"/>
      <c r="D16" s="133"/>
      <c r="E16" s="71"/>
      <c r="F16" s="72"/>
      <c r="G16" s="73"/>
      <c r="H16" s="72"/>
      <c r="I16" s="73"/>
      <c r="J16" s="74"/>
      <c r="K16" s="73"/>
      <c r="L16" s="74"/>
      <c r="M16" s="73"/>
      <c r="N16" s="74"/>
      <c r="O16" s="73"/>
      <c r="P16" s="72"/>
      <c r="Q16" s="75">
        <f t="shared" si="0"/>
        <v>0</v>
      </c>
      <c r="R16" s="76">
        <f t="shared" si="0"/>
        <v>0</v>
      </c>
    </row>
    <row r="17" spans="1:21" ht="16.05" customHeight="1">
      <c r="A17" s="70" t="s">
        <v>149</v>
      </c>
      <c r="B17" s="131" t="s">
        <v>22</v>
      </c>
      <c r="C17" s="132"/>
      <c r="D17" s="133"/>
      <c r="E17" s="71"/>
      <c r="F17" s="72"/>
      <c r="G17" s="73"/>
      <c r="H17" s="72"/>
      <c r="I17" s="73"/>
      <c r="J17" s="74"/>
      <c r="K17" s="73"/>
      <c r="L17" s="74"/>
      <c r="M17" s="73"/>
      <c r="N17" s="74"/>
      <c r="O17" s="73"/>
      <c r="P17" s="72"/>
      <c r="Q17" s="75">
        <f t="shared" si="0"/>
        <v>0</v>
      </c>
      <c r="R17" s="76">
        <f t="shared" si="0"/>
        <v>0</v>
      </c>
    </row>
    <row r="18" spans="1:21" ht="16.05" customHeight="1">
      <c r="A18" s="70" t="s">
        <v>150</v>
      </c>
      <c r="B18" s="131" t="s">
        <v>23</v>
      </c>
      <c r="C18" s="132"/>
      <c r="D18" s="133"/>
      <c r="E18" s="71"/>
      <c r="F18" s="72"/>
      <c r="G18" s="73"/>
      <c r="H18" s="72"/>
      <c r="I18" s="73"/>
      <c r="J18" s="74"/>
      <c r="K18" s="73"/>
      <c r="L18" s="74"/>
      <c r="M18" s="73"/>
      <c r="N18" s="74"/>
      <c r="O18" s="73"/>
      <c r="P18" s="72"/>
      <c r="Q18" s="75">
        <f t="shared" si="0"/>
        <v>0</v>
      </c>
      <c r="R18" s="76">
        <f t="shared" si="0"/>
        <v>0</v>
      </c>
    </row>
    <row r="19" spans="1:21" ht="16.05" customHeight="1">
      <c r="A19" s="70" t="s">
        <v>137</v>
      </c>
      <c r="B19" s="131" t="s">
        <v>24</v>
      </c>
      <c r="C19" s="132"/>
      <c r="D19" s="133"/>
      <c r="E19" s="71"/>
      <c r="F19" s="72"/>
      <c r="G19" s="73"/>
      <c r="H19" s="72"/>
      <c r="I19" s="73"/>
      <c r="J19" s="74"/>
      <c r="K19" s="73"/>
      <c r="L19" s="74"/>
      <c r="M19" s="73"/>
      <c r="N19" s="74"/>
      <c r="O19" s="73"/>
      <c r="P19" s="72"/>
      <c r="Q19" s="75">
        <f t="shared" si="0"/>
        <v>0</v>
      </c>
      <c r="R19" s="76">
        <f t="shared" si="0"/>
        <v>0</v>
      </c>
    </row>
    <row r="20" spans="1:21" ht="16.05" customHeight="1">
      <c r="A20" s="70" t="s">
        <v>151</v>
      </c>
      <c r="B20" s="131" t="s">
        <v>708</v>
      </c>
      <c r="C20" s="132"/>
      <c r="D20" s="133"/>
      <c r="E20" s="71"/>
      <c r="F20" s="72"/>
      <c r="G20" s="73">
        <v>212</v>
      </c>
      <c r="H20" s="72"/>
      <c r="I20" s="73"/>
      <c r="J20" s="74"/>
      <c r="K20" s="73"/>
      <c r="L20" s="74"/>
      <c r="M20" s="73"/>
      <c r="N20" s="74"/>
      <c r="O20" s="73"/>
      <c r="P20" s="72"/>
      <c r="Q20" s="75">
        <f t="shared" si="0"/>
        <v>212</v>
      </c>
      <c r="R20" s="76">
        <f t="shared" si="0"/>
        <v>0</v>
      </c>
      <c r="U20" s="77"/>
    </row>
    <row r="21" spans="1:21" ht="16.05" customHeight="1">
      <c r="A21" s="70" t="s">
        <v>152</v>
      </c>
      <c r="B21" s="131" t="s">
        <v>709</v>
      </c>
      <c r="C21" s="132"/>
      <c r="D21" s="133"/>
      <c r="E21" s="71"/>
      <c r="F21" s="72"/>
      <c r="G21" s="73"/>
      <c r="H21" s="72"/>
      <c r="I21" s="73"/>
      <c r="J21" s="74"/>
      <c r="K21" s="73"/>
      <c r="L21" s="74"/>
      <c r="M21" s="73"/>
      <c r="N21" s="74"/>
      <c r="O21" s="73"/>
      <c r="P21" s="72"/>
      <c r="Q21" s="75">
        <f t="shared" si="0"/>
        <v>0</v>
      </c>
      <c r="R21" s="76">
        <f t="shared" si="0"/>
        <v>0</v>
      </c>
    </row>
    <row r="22" spans="1:21" ht="16.05" customHeight="1">
      <c r="A22" s="70" t="s">
        <v>153</v>
      </c>
      <c r="B22" s="131" t="s">
        <v>710</v>
      </c>
      <c r="C22" s="132"/>
      <c r="D22" s="133"/>
      <c r="E22" s="71"/>
      <c r="F22" s="72"/>
      <c r="G22" s="73"/>
      <c r="H22" s="72"/>
      <c r="I22" s="73"/>
      <c r="J22" s="74"/>
      <c r="K22" s="73"/>
      <c r="L22" s="74"/>
      <c r="M22" s="73"/>
      <c r="N22" s="74"/>
      <c r="O22" s="73"/>
      <c r="P22" s="72"/>
      <c r="Q22" s="75">
        <f t="shared" si="0"/>
        <v>0</v>
      </c>
      <c r="R22" s="76">
        <f t="shared" si="0"/>
        <v>0</v>
      </c>
    </row>
    <row r="23" spans="1:21" ht="16.05" customHeight="1">
      <c r="A23" s="70" t="s">
        <v>689</v>
      </c>
      <c r="B23" s="131" t="s">
        <v>711</v>
      </c>
      <c r="C23" s="132"/>
      <c r="D23" s="133"/>
      <c r="E23" s="71"/>
      <c r="F23" s="72"/>
      <c r="G23" s="73"/>
      <c r="H23" s="72"/>
      <c r="I23" s="73"/>
      <c r="J23" s="74"/>
      <c r="K23" s="73"/>
      <c r="L23" s="74"/>
      <c r="M23" s="73"/>
      <c r="N23" s="74"/>
      <c r="O23" s="73"/>
      <c r="P23" s="72"/>
      <c r="Q23" s="75">
        <f t="shared" si="0"/>
        <v>0</v>
      </c>
      <c r="R23" s="76">
        <f t="shared" si="0"/>
        <v>0</v>
      </c>
    </row>
    <row r="24" spans="1:21" ht="16.05" customHeight="1">
      <c r="A24" s="70" t="s">
        <v>154</v>
      </c>
      <c r="B24" s="131" t="s">
        <v>712</v>
      </c>
      <c r="C24" s="132"/>
      <c r="D24" s="133"/>
      <c r="E24" s="71"/>
      <c r="F24" s="72"/>
      <c r="G24" s="73"/>
      <c r="H24" s="72"/>
      <c r="I24" s="73"/>
      <c r="J24" s="74"/>
      <c r="K24" s="73"/>
      <c r="L24" s="74"/>
      <c r="M24" s="73"/>
      <c r="N24" s="74"/>
      <c r="O24" s="73"/>
      <c r="P24" s="72"/>
      <c r="Q24" s="75">
        <f t="shared" si="0"/>
        <v>0</v>
      </c>
      <c r="R24" s="76">
        <f t="shared" si="0"/>
        <v>0</v>
      </c>
    </row>
    <row r="25" spans="1:21" ht="16.05" customHeight="1">
      <c r="A25" s="70" t="s">
        <v>681</v>
      </c>
      <c r="B25" s="131" t="s">
        <v>713</v>
      </c>
      <c r="C25" s="132"/>
      <c r="D25" s="133"/>
      <c r="E25" s="71"/>
      <c r="F25" s="72"/>
      <c r="G25" s="73"/>
      <c r="H25" s="72"/>
      <c r="I25" s="73"/>
      <c r="J25" s="74"/>
      <c r="K25" s="73"/>
      <c r="L25" s="74"/>
      <c r="M25" s="73"/>
      <c r="N25" s="74"/>
      <c r="O25" s="73"/>
      <c r="P25" s="72"/>
      <c r="Q25" s="75">
        <f t="shared" si="0"/>
        <v>0</v>
      </c>
      <c r="R25" s="76">
        <f t="shared" si="0"/>
        <v>0</v>
      </c>
    </row>
    <row r="26" spans="1:21" ht="16.05" customHeight="1">
      <c r="A26" s="70" t="s">
        <v>656</v>
      </c>
      <c r="B26" s="131" t="s">
        <v>25</v>
      </c>
      <c r="C26" s="132"/>
      <c r="D26" s="133"/>
      <c r="E26" s="71"/>
      <c r="F26" s="72"/>
      <c r="G26" s="73"/>
      <c r="H26" s="72"/>
      <c r="I26" s="73"/>
      <c r="J26" s="74"/>
      <c r="K26" s="73"/>
      <c r="L26" s="74"/>
      <c r="M26" s="73"/>
      <c r="N26" s="74"/>
      <c r="O26" s="73"/>
      <c r="P26" s="72"/>
      <c r="Q26" s="75">
        <f t="shared" si="0"/>
        <v>0</v>
      </c>
      <c r="R26" s="76">
        <f t="shared" si="0"/>
        <v>0</v>
      </c>
    </row>
    <row r="27" spans="1:21" ht="16.05" customHeight="1">
      <c r="A27" s="70" t="s">
        <v>654</v>
      </c>
      <c r="B27" s="131" t="s">
        <v>26</v>
      </c>
      <c r="C27" s="132"/>
      <c r="D27" s="133"/>
      <c r="E27" s="71"/>
      <c r="F27" s="72"/>
      <c r="G27" s="73"/>
      <c r="H27" s="72"/>
      <c r="I27" s="73"/>
      <c r="J27" s="74"/>
      <c r="K27" s="73"/>
      <c r="L27" s="74"/>
      <c r="M27" s="73"/>
      <c r="N27" s="74"/>
      <c r="O27" s="73"/>
      <c r="P27" s="72"/>
      <c r="Q27" s="75">
        <f t="shared" si="0"/>
        <v>0</v>
      </c>
      <c r="R27" s="76">
        <f t="shared" si="0"/>
        <v>0</v>
      </c>
    </row>
    <row r="28" spans="1:21" ht="16.05" customHeight="1">
      <c r="A28" s="70" t="s">
        <v>658</v>
      </c>
      <c r="B28" s="131" t="s">
        <v>27</v>
      </c>
      <c r="C28" s="132"/>
      <c r="D28" s="133"/>
      <c r="E28" s="71"/>
      <c r="F28" s="72"/>
      <c r="G28" s="73"/>
      <c r="H28" s="72"/>
      <c r="I28" s="73"/>
      <c r="J28" s="74"/>
      <c r="K28" s="73"/>
      <c r="L28" s="74"/>
      <c r="M28" s="73"/>
      <c r="N28" s="74"/>
      <c r="O28" s="73"/>
      <c r="P28" s="72"/>
      <c r="Q28" s="75">
        <f t="shared" si="0"/>
        <v>0</v>
      </c>
      <c r="R28" s="76">
        <f t="shared" si="0"/>
        <v>0</v>
      </c>
    </row>
    <row r="29" spans="1:21" ht="16.05" customHeight="1">
      <c r="A29" s="70" t="s">
        <v>660</v>
      </c>
      <c r="B29" s="131" t="s">
        <v>28</v>
      </c>
      <c r="C29" s="132"/>
      <c r="D29" s="133"/>
      <c r="E29" s="71"/>
      <c r="F29" s="72"/>
      <c r="G29" s="73"/>
      <c r="H29" s="72"/>
      <c r="I29" s="73"/>
      <c r="J29" s="74"/>
      <c r="K29" s="73"/>
      <c r="L29" s="74"/>
      <c r="M29" s="73"/>
      <c r="N29" s="74"/>
      <c r="O29" s="73"/>
      <c r="P29" s="72"/>
      <c r="Q29" s="75">
        <f t="shared" si="0"/>
        <v>0</v>
      </c>
      <c r="R29" s="76">
        <f t="shared" si="0"/>
        <v>0</v>
      </c>
    </row>
    <row r="30" spans="1:21" ht="16.05" customHeight="1">
      <c r="A30" s="70" t="s">
        <v>662</v>
      </c>
      <c r="B30" s="131" t="s">
        <v>29</v>
      </c>
      <c r="C30" s="132"/>
      <c r="D30" s="133"/>
      <c r="E30" s="71"/>
      <c r="F30" s="72"/>
      <c r="G30" s="73"/>
      <c r="H30" s="72"/>
      <c r="I30" s="73"/>
      <c r="J30" s="74"/>
      <c r="K30" s="73"/>
      <c r="L30" s="74"/>
      <c r="M30" s="73"/>
      <c r="N30" s="74"/>
      <c r="O30" s="73"/>
      <c r="P30" s="72"/>
      <c r="Q30" s="75">
        <f t="shared" si="0"/>
        <v>0</v>
      </c>
      <c r="R30" s="76">
        <f t="shared" si="0"/>
        <v>0</v>
      </c>
    </row>
    <row r="31" spans="1:21" ht="16.05" customHeight="1">
      <c r="A31" s="70" t="s">
        <v>665</v>
      </c>
      <c r="B31" s="131" t="s">
        <v>704</v>
      </c>
      <c r="C31" s="132"/>
      <c r="D31" s="133"/>
      <c r="E31" s="71"/>
      <c r="F31" s="72"/>
      <c r="G31" s="73"/>
      <c r="H31" s="72"/>
      <c r="I31" s="73"/>
      <c r="J31" s="74"/>
      <c r="K31" s="73"/>
      <c r="L31" s="74"/>
      <c r="M31" s="73"/>
      <c r="N31" s="74"/>
      <c r="O31" s="73"/>
      <c r="P31" s="72"/>
      <c r="Q31" s="75">
        <f t="shared" si="0"/>
        <v>0</v>
      </c>
      <c r="R31" s="76">
        <f t="shared" si="0"/>
        <v>0</v>
      </c>
    </row>
    <row r="32" spans="1:21" ht="16.05" customHeight="1">
      <c r="A32" s="70" t="s">
        <v>595</v>
      </c>
      <c r="B32" s="131" t="s">
        <v>30</v>
      </c>
      <c r="C32" s="132"/>
      <c r="D32" s="133"/>
      <c r="E32" s="71"/>
      <c r="F32" s="72"/>
      <c r="G32" s="73"/>
      <c r="H32" s="72"/>
      <c r="I32" s="73"/>
      <c r="J32" s="74"/>
      <c r="K32" s="73"/>
      <c r="L32" s="74"/>
      <c r="M32" s="73"/>
      <c r="N32" s="74"/>
      <c r="O32" s="73"/>
      <c r="P32" s="72"/>
      <c r="Q32" s="75">
        <f t="shared" si="0"/>
        <v>0</v>
      </c>
      <c r="R32" s="76">
        <f t="shared" si="0"/>
        <v>0</v>
      </c>
    </row>
    <row r="33" spans="1:18" ht="16.05" customHeight="1">
      <c r="A33" s="70" t="s">
        <v>155</v>
      </c>
      <c r="B33" s="131" t="s">
        <v>31</v>
      </c>
      <c r="C33" s="132"/>
      <c r="D33" s="133"/>
      <c r="E33" s="71"/>
      <c r="F33" s="72"/>
      <c r="G33" s="73"/>
      <c r="H33" s="72"/>
      <c r="I33" s="73"/>
      <c r="J33" s="74"/>
      <c r="K33" s="73"/>
      <c r="L33" s="74"/>
      <c r="M33" s="73"/>
      <c r="N33" s="74"/>
      <c r="O33" s="73"/>
      <c r="P33" s="72"/>
      <c r="Q33" s="75">
        <f t="shared" si="0"/>
        <v>0</v>
      </c>
      <c r="R33" s="76">
        <f t="shared" si="0"/>
        <v>0</v>
      </c>
    </row>
    <row r="34" spans="1:18" ht="16.05" customHeight="1">
      <c r="A34" s="70" t="s">
        <v>156</v>
      </c>
      <c r="B34" s="131" t="s">
        <v>32</v>
      </c>
      <c r="C34" s="132"/>
      <c r="D34" s="133"/>
      <c r="E34" s="71"/>
      <c r="F34" s="72"/>
      <c r="G34" s="73"/>
      <c r="H34" s="72"/>
      <c r="I34" s="73"/>
      <c r="J34" s="74"/>
      <c r="K34" s="73"/>
      <c r="L34" s="74"/>
      <c r="M34" s="73"/>
      <c r="N34" s="74"/>
      <c r="O34" s="73"/>
      <c r="P34" s="72"/>
      <c r="Q34" s="75">
        <f t="shared" si="0"/>
        <v>0</v>
      </c>
      <c r="R34" s="76">
        <f t="shared" si="0"/>
        <v>0</v>
      </c>
    </row>
    <row r="35" spans="1:18" ht="16.05" customHeight="1">
      <c r="A35" s="70" t="s">
        <v>157</v>
      </c>
      <c r="B35" s="131" t="s">
        <v>719</v>
      </c>
      <c r="C35" s="132"/>
      <c r="D35" s="133"/>
      <c r="E35" s="71"/>
      <c r="F35" s="72"/>
      <c r="G35" s="73"/>
      <c r="H35" s="72"/>
      <c r="I35" s="73"/>
      <c r="J35" s="74"/>
      <c r="K35" s="73"/>
      <c r="L35" s="74"/>
      <c r="M35" s="73"/>
      <c r="N35" s="74"/>
      <c r="O35" s="73"/>
      <c r="P35" s="72"/>
      <c r="Q35" s="75">
        <f t="shared" si="0"/>
        <v>0</v>
      </c>
      <c r="R35" s="76">
        <f t="shared" si="0"/>
        <v>0</v>
      </c>
    </row>
    <row r="36" spans="1:18" s="85" customFormat="1" ht="16.05" customHeight="1">
      <c r="A36" s="78" t="s">
        <v>643</v>
      </c>
      <c r="B36" s="140" t="s">
        <v>720</v>
      </c>
      <c r="C36" s="138"/>
      <c r="D36" s="139"/>
      <c r="E36" s="79"/>
      <c r="F36" s="80"/>
      <c r="G36" s="81"/>
      <c r="H36" s="80"/>
      <c r="I36" s="81"/>
      <c r="J36" s="82"/>
      <c r="K36" s="81"/>
      <c r="L36" s="82"/>
      <c r="M36" s="81"/>
      <c r="N36" s="82"/>
      <c r="O36" s="81"/>
      <c r="P36" s="80"/>
      <c r="Q36" s="83">
        <f t="shared" si="0"/>
        <v>0</v>
      </c>
      <c r="R36" s="84">
        <f t="shared" si="0"/>
        <v>0</v>
      </c>
    </row>
    <row r="37" spans="1:18" ht="16.05" customHeight="1">
      <c r="A37" s="70" t="s">
        <v>144</v>
      </c>
      <c r="B37" s="131" t="s">
        <v>725</v>
      </c>
      <c r="C37" s="132"/>
      <c r="D37" s="133"/>
      <c r="E37" s="71"/>
      <c r="F37" s="72"/>
      <c r="G37" s="73"/>
      <c r="H37" s="72"/>
      <c r="I37" s="73"/>
      <c r="J37" s="74"/>
      <c r="K37" s="73"/>
      <c r="L37" s="74"/>
      <c r="M37" s="73"/>
      <c r="N37" s="74"/>
      <c r="O37" s="73"/>
      <c r="P37" s="72"/>
      <c r="Q37" s="75">
        <f t="shared" si="0"/>
        <v>0</v>
      </c>
      <c r="R37" s="76">
        <f t="shared" si="0"/>
        <v>0</v>
      </c>
    </row>
    <row r="38" spans="1:18" ht="16.05" customHeight="1">
      <c r="A38" s="70" t="s">
        <v>158</v>
      </c>
      <c r="B38" s="131" t="s">
        <v>723</v>
      </c>
      <c r="C38" s="132"/>
      <c r="D38" s="133"/>
      <c r="E38" s="71"/>
      <c r="F38" s="72"/>
      <c r="G38" s="73"/>
      <c r="H38" s="72"/>
      <c r="I38" s="73"/>
      <c r="J38" s="74"/>
      <c r="K38" s="73"/>
      <c r="L38" s="74"/>
      <c r="M38" s="73"/>
      <c r="N38" s="74"/>
      <c r="O38" s="73"/>
      <c r="P38" s="72"/>
      <c r="Q38" s="75">
        <f t="shared" si="0"/>
        <v>0</v>
      </c>
      <c r="R38" s="76">
        <f t="shared" si="0"/>
        <v>0</v>
      </c>
    </row>
    <row r="39" spans="1:18" ht="16.05" customHeight="1">
      <c r="A39" s="70" t="s">
        <v>159</v>
      </c>
      <c r="B39" s="131" t="s">
        <v>724</v>
      </c>
      <c r="C39" s="132"/>
      <c r="D39" s="133"/>
      <c r="E39" s="71"/>
      <c r="F39" s="72"/>
      <c r="G39" s="73"/>
      <c r="H39" s="72"/>
      <c r="I39" s="73"/>
      <c r="J39" s="74"/>
      <c r="K39" s="73"/>
      <c r="L39" s="74"/>
      <c r="M39" s="73"/>
      <c r="N39" s="74"/>
      <c r="O39" s="73"/>
      <c r="P39" s="72"/>
      <c r="Q39" s="75">
        <f t="shared" si="0"/>
        <v>0</v>
      </c>
      <c r="R39" s="76">
        <f t="shared" si="0"/>
        <v>0</v>
      </c>
    </row>
    <row r="40" spans="1:18" ht="16.05" customHeight="1">
      <c r="A40" s="70" t="s">
        <v>160</v>
      </c>
      <c r="B40" s="131" t="s">
        <v>33</v>
      </c>
      <c r="C40" s="132"/>
      <c r="D40" s="133"/>
      <c r="E40" s="71"/>
      <c r="F40" s="72"/>
      <c r="G40" s="73"/>
      <c r="H40" s="72"/>
      <c r="I40" s="73"/>
      <c r="J40" s="74"/>
      <c r="K40" s="73"/>
      <c r="L40" s="74"/>
      <c r="M40" s="73"/>
      <c r="N40" s="74"/>
      <c r="O40" s="73"/>
      <c r="P40" s="72"/>
      <c r="Q40" s="75">
        <f t="shared" si="0"/>
        <v>0</v>
      </c>
      <c r="R40" s="76">
        <f t="shared" si="0"/>
        <v>0</v>
      </c>
    </row>
    <row r="41" spans="1:18" ht="16.05" customHeight="1" thickBot="1">
      <c r="A41" s="86" t="s">
        <v>161</v>
      </c>
      <c r="B41" s="170" t="s">
        <v>34</v>
      </c>
      <c r="C41" s="171"/>
      <c r="D41" s="172"/>
      <c r="E41" s="87"/>
      <c r="F41" s="88"/>
      <c r="G41" s="89"/>
      <c r="H41" s="90"/>
      <c r="I41" s="89"/>
      <c r="J41" s="90"/>
      <c r="K41" s="89"/>
      <c r="L41" s="91"/>
      <c r="M41" s="89"/>
      <c r="N41" s="91"/>
      <c r="O41" s="89"/>
      <c r="P41" s="88"/>
      <c r="Q41" s="92">
        <f t="shared" ref="Q41:R41" si="1">E41+G41+I41+K41+M41+O41</f>
        <v>0</v>
      </c>
      <c r="R41" s="93">
        <f t="shared" si="1"/>
        <v>0</v>
      </c>
    </row>
    <row r="42" spans="1:18" ht="27.6" thickTop="1" thickBot="1">
      <c r="C42" s="56" t="s">
        <v>0</v>
      </c>
      <c r="D42" s="57"/>
      <c r="E42" s="57"/>
      <c r="F42" s="57"/>
      <c r="G42" s="57"/>
      <c r="H42" s="57"/>
      <c r="I42" s="57"/>
      <c r="J42" s="57"/>
      <c r="K42" s="57"/>
      <c r="L42" s="173" t="str">
        <f>M1</f>
        <v>2026年</v>
      </c>
      <c r="M42" s="173"/>
      <c r="N42" s="58" t="s">
        <v>1118</v>
      </c>
      <c r="O42" s="57" t="s">
        <v>1119</v>
      </c>
      <c r="P42" s="58"/>
      <c r="Q42" s="57"/>
    </row>
    <row r="43" spans="1:18" ht="20.55" customHeight="1" thickTop="1" thickBot="1">
      <c r="A43" s="154" t="s">
        <v>135</v>
      </c>
      <c r="B43" s="156" t="s">
        <v>1</v>
      </c>
      <c r="C43" s="157"/>
      <c r="D43" s="158"/>
      <c r="E43" s="162" t="s">
        <v>2</v>
      </c>
      <c r="F43" s="147"/>
      <c r="G43" s="163" t="s">
        <v>3</v>
      </c>
      <c r="H43" s="148"/>
      <c r="I43" s="163" t="s">
        <v>4</v>
      </c>
      <c r="J43" s="148"/>
      <c r="K43" s="147" t="s">
        <v>5</v>
      </c>
      <c r="L43" s="148"/>
      <c r="M43" s="147" t="str">
        <f>$M$2</f>
        <v>川崎</v>
      </c>
      <c r="N43" s="148"/>
      <c r="O43" s="147" t="str">
        <f>$O$2</f>
        <v>野村</v>
      </c>
      <c r="P43" s="148"/>
      <c r="Q43" s="147" t="s">
        <v>6</v>
      </c>
      <c r="R43" s="149"/>
    </row>
    <row r="44" spans="1:18" ht="12" customHeight="1" thickTop="1" thickBot="1">
      <c r="A44" s="155"/>
      <c r="B44" s="159"/>
      <c r="C44" s="160"/>
      <c r="D44" s="161"/>
      <c r="E44" s="59" t="s">
        <v>7</v>
      </c>
      <c r="F44" s="60" t="s">
        <v>8</v>
      </c>
      <c r="G44" s="61" t="s">
        <v>7</v>
      </c>
      <c r="H44" s="60" t="s">
        <v>8</v>
      </c>
      <c r="I44" s="61" t="s">
        <v>7</v>
      </c>
      <c r="J44" s="62" t="s">
        <v>8</v>
      </c>
      <c r="K44" s="61" t="s">
        <v>7</v>
      </c>
      <c r="L44" s="62" t="s">
        <v>8</v>
      </c>
      <c r="M44" s="61" t="s">
        <v>7</v>
      </c>
      <c r="N44" s="62" t="s">
        <v>8</v>
      </c>
      <c r="O44" s="61" t="s">
        <v>7</v>
      </c>
      <c r="P44" s="62" t="s">
        <v>8</v>
      </c>
      <c r="Q44" s="61" t="s">
        <v>7</v>
      </c>
      <c r="R44" s="63" t="s">
        <v>8</v>
      </c>
    </row>
    <row r="45" spans="1:18" ht="16.05" customHeight="1" thickTop="1">
      <c r="A45" s="64"/>
      <c r="B45" s="150" t="s">
        <v>35</v>
      </c>
      <c r="C45" s="151"/>
      <c r="D45" s="152"/>
      <c r="E45" s="65"/>
      <c r="G45" s="66"/>
      <c r="I45" s="66"/>
      <c r="J45" s="67"/>
      <c r="K45" s="66"/>
      <c r="L45" s="67"/>
      <c r="M45" s="66"/>
      <c r="N45" s="67"/>
      <c r="O45" s="66"/>
      <c r="P45" s="67"/>
      <c r="Q45" s="68">
        <f>E45+G45+I45+K45+M45+O45</f>
        <v>0</v>
      </c>
      <c r="R45" s="69">
        <f>F45+H45+J45+L45+N45+P45</f>
        <v>0</v>
      </c>
    </row>
    <row r="46" spans="1:18" ht="16.05" customHeight="1">
      <c r="A46" s="70" t="s">
        <v>162</v>
      </c>
      <c r="B46" s="131" t="s">
        <v>36</v>
      </c>
      <c r="C46" s="132"/>
      <c r="D46" s="133"/>
      <c r="E46" s="71"/>
      <c r="F46" s="72"/>
      <c r="G46" s="73"/>
      <c r="H46" s="72"/>
      <c r="I46" s="73"/>
      <c r="J46" s="74"/>
      <c r="K46" s="73"/>
      <c r="L46" s="74"/>
      <c r="M46" s="73"/>
      <c r="N46" s="74"/>
      <c r="O46" s="73"/>
      <c r="P46" s="74"/>
      <c r="Q46" s="75">
        <f>E46+G46+I46+K46+M46+O46</f>
        <v>0</v>
      </c>
      <c r="R46" s="76">
        <f>F46+H46+J46+L46+N46+P46</f>
        <v>0</v>
      </c>
    </row>
    <row r="47" spans="1:18" s="85" customFormat="1" ht="16.05" customHeight="1">
      <c r="A47" s="78" t="s">
        <v>162</v>
      </c>
      <c r="B47" s="140" t="s">
        <v>1121</v>
      </c>
      <c r="C47" s="138"/>
      <c r="D47" s="139"/>
      <c r="E47" s="79"/>
      <c r="F47" s="80"/>
      <c r="G47" s="81"/>
      <c r="H47" s="80"/>
      <c r="I47" s="81"/>
      <c r="J47" s="82"/>
      <c r="K47" s="81"/>
      <c r="L47" s="82"/>
      <c r="M47" s="81"/>
      <c r="N47" s="82"/>
      <c r="O47" s="81"/>
      <c r="P47" s="82"/>
      <c r="Q47" s="83">
        <f t="shared" ref="Q47:R81" si="2">E47+G47+I47+K47+M47+O47</f>
        <v>0</v>
      </c>
      <c r="R47" s="84">
        <f t="shared" si="2"/>
        <v>0</v>
      </c>
    </row>
    <row r="48" spans="1:18" ht="16.05" customHeight="1">
      <c r="A48" s="70" t="s">
        <v>677</v>
      </c>
      <c r="B48" s="131" t="s">
        <v>705</v>
      </c>
      <c r="C48" s="132"/>
      <c r="D48" s="133"/>
      <c r="E48" s="71"/>
      <c r="F48" s="72"/>
      <c r="G48" s="73"/>
      <c r="H48" s="72"/>
      <c r="I48" s="73"/>
      <c r="J48" s="74"/>
      <c r="K48" s="73"/>
      <c r="L48" s="74"/>
      <c r="M48" s="73"/>
      <c r="N48" s="74"/>
      <c r="O48" s="73"/>
      <c r="P48" s="74"/>
      <c r="Q48" s="75">
        <f t="shared" si="2"/>
        <v>0</v>
      </c>
      <c r="R48" s="76">
        <f t="shared" si="2"/>
        <v>0</v>
      </c>
    </row>
    <row r="49" spans="1:19" ht="16.05" customHeight="1">
      <c r="A49" s="70" t="s">
        <v>163</v>
      </c>
      <c r="B49" s="131" t="s">
        <v>37</v>
      </c>
      <c r="C49" s="132"/>
      <c r="D49" s="133"/>
      <c r="E49" s="71"/>
      <c r="F49" s="72"/>
      <c r="G49" s="73"/>
      <c r="H49" s="72"/>
      <c r="I49" s="73"/>
      <c r="J49" s="74"/>
      <c r="K49" s="73"/>
      <c r="L49" s="74"/>
      <c r="M49" s="73"/>
      <c r="N49" s="74"/>
      <c r="O49" s="73"/>
      <c r="P49" s="74"/>
      <c r="Q49" s="75">
        <f t="shared" si="2"/>
        <v>0</v>
      </c>
      <c r="R49" s="76">
        <f t="shared" si="2"/>
        <v>0</v>
      </c>
    </row>
    <row r="50" spans="1:19" s="85" customFormat="1" ht="16.05" customHeight="1">
      <c r="A50" s="78" t="s">
        <v>164</v>
      </c>
      <c r="B50" s="140" t="s">
        <v>1122</v>
      </c>
      <c r="C50" s="138"/>
      <c r="D50" s="139"/>
      <c r="E50" s="79"/>
      <c r="F50" s="80"/>
      <c r="G50" s="81"/>
      <c r="H50" s="80"/>
      <c r="I50" s="81"/>
      <c r="J50" s="82"/>
      <c r="K50" s="81"/>
      <c r="L50" s="82"/>
      <c r="M50" s="81"/>
      <c r="N50" s="82"/>
      <c r="O50" s="81"/>
      <c r="P50" s="82"/>
      <c r="Q50" s="83">
        <f t="shared" si="2"/>
        <v>0</v>
      </c>
      <c r="R50" s="84">
        <f t="shared" si="2"/>
        <v>0</v>
      </c>
    </row>
    <row r="51" spans="1:19" ht="16.05" customHeight="1">
      <c r="A51" s="70" t="s">
        <v>165</v>
      </c>
      <c r="B51" s="131" t="s">
        <v>38</v>
      </c>
      <c r="C51" s="132"/>
      <c r="D51" s="133"/>
      <c r="E51" s="71"/>
      <c r="F51" s="72"/>
      <c r="G51" s="73"/>
      <c r="H51" s="72"/>
      <c r="I51" s="73"/>
      <c r="J51" s="74"/>
      <c r="K51" s="73"/>
      <c r="L51" s="74"/>
      <c r="M51" s="73"/>
      <c r="N51" s="74"/>
      <c r="O51" s="73"/>
      <c r="P51" s="74"/>
      <c r="Q51" s="75">
        <f t="shared" si="2"/>
        <v>0</v>
      </c>
      <c r="R51" s="76">
        <f t="shared" si="2"/>
        <v>0</v>
      </c>
    </row>
    <row r="52" spans="1:19" ht="16.05" customHeight="1">
      <c r="A52" s="70" t="s">
        <v>168</v>
      </c>
      <c r="B52" s="131" t="s">
        <v>166</v>
      </c>
      <c r="C52" s="132"/>
      <c r="D52" s="133"/>
      <c r="E52" s="71"/>
      <c r="F52" s="72"/>
      <c r="G52" s="73"/>
      <c r="H52" s="72"/>
      <c r="I52" s="73"/>
      <c r="J52" s="74"/>
      <c r="K52" s="73"/>
      <c r="L52" s="74"/>
      <c r="M52" s="73"/>
      <c r="N52" s="74"/>
      <c r="O52" s="73"/>
      <c r="P52" s="74"/>
      <c r="Q52" s="75">
        <f t="shared" si="2"/>
        <v>0</v>
      </c>
      <c r="R52" s="76">
        <f t="shared" si="2"/>
        <v>0</v>
      </c>
    </row>
    <row r="53" spans="1:19" ht="16.05" customHeight="1">
      <c r="A53" s="70" t="s">
        <v>169</v>
      </c>
      <c r="B53" s="131" t="s">
        <v>167</v>
      </c>
      <c r="C53" s="132"/>
      <c r="D53" s="133"/>
      <c r="E53" s="71"/>
      <c r="F53" s="72"/>
      <c r="G53" s="73"/>
      <c r="H53" s="72"/>
      <c r="I53" s="73"/>
      <c r="J53" s="74"/>
      <c r="K53" s="73"/>
      <c r="L53" s="74"/>
      <c r="M53" s="73"/>
      <c r="N53" s="74"/>
      <c r="O53" s="73"/>
      <c r="P53" s="74"/>
      <c r="Q53" s="75">
        <f t="shared" si="2"/>
        <v>0</v>
      </c>
      <c r="R53" s="76">
        <f t="shared" si="2"/>
        <v>0</v>
      </c>
    </row>
    <row r="54" spans="1:19" s="85" customFormat="1" ht="16.05" customHeight="1">
      <c r="A54" s="78" t="s">
        <v>169</v>
      </c>
      <c r="B54" s="140" t="s">
        <v>1123</v>
      </c>
      <c r="C54" s="138"/>
      <c r="D54" s="139"/>
      <c r="E54" s="79"/>
      <c r="F54" s="80"/>
      <c r="G54" s="81"/>
      <c r="H54" s="80"/>
      <c r="I54" s="81"/>
      <c r="J54" s="82"/>
      <c r="K54" s="81"/>
      <c r="L54" s="82"/>
      <c r="M54" s="81"/>
      <c r="N54" s="82"/>
      <c r="O54" s="81"/>
      <c r="P54" s="82"/>
      <c r="Q54" s="83">
        <f t="shared" si="2"/>
        <v>0</v>
      </c>
      <c r="R54" s="84">
        <f t="shared" si="2"/>
        <v>0</v>
      </c>
    </row>
    <row r="55" spans="1:19" ht="16.05" customHeight="1">
      <c r="A55" s="70" t="s">
        <v>170</v>
      </c>
      <c r="B55" s="131" t="s">
        <v>40</v>
      </c>
      <c r="C55" s="132"/>
      <c r="D55" s="133"/>
      <c r="E55" s="71"/>
      <c r="F55" s="72"/>
      <c r="G55" s="73"/>
      <c r="H55" s="72"/>
      <c r="I55" s="73"/>
      <c r="J55" s="74"/>
      <c r="K55" s="73"/>
      <c r="L55" s="74"/>
      <c r="M55" s="73"/>
      <c r="N55" s="74"/>
      <c r="O55" s="73"/>
      <c r="P55" s="74"/>
      <c r="Q55" s="75">
        <f t="shared" si="2"/>
        <v>0</v>
      </c>
      <c r="R55" s="76">
        <f t="shared" si="2"/>
        <v>0</v>
      </c>
    </row>
    <row r="56" spans="1:19" ht="16.05" customHeight="1">
      <c r="A56" s="70" t="s">
        <v>171</v>
      </c>
      <c r="B56" s="131" t="s">
        <v>41</v>
      </c>
      <c r="C56" s="132"/>
      <c r="D56" s="133"/>
      <c r="E56" s="71"/>
      <c r="F56" s="72"/>
      <c r="G56" s="73"/>
      <c r="H56" s="72"/>
      <c r="I56" s="73"/>
      <c r="J56" s="74"/>
      <c r="K56" s="73"/>
      <c r="L56" s="74"/>
      <c r="M56" s="73"/>
      <c r="N56" s="74"/>
      <c r="O56" s="73"/>
      <c r="P56" s="74"/>
      <c r="Q56" s="75">
        <f t="shared" si="2"/>
        <v>0</v>
      </c>
      <c r="R56" s="76">
        <f t="shared" si="2"/>
        <v>0</v>
      </c>
    </row>
    <row r="57" spans="1:19" ht="16.05" customHeight="1">
      <c r="A57" s="70" t="s">
        <v>172</v>
      </c>
      <c r="B57" s="131" t="s">
        <v>42</v>
      </c>
      <c r="C57" s="132"/>
      <c r="D57" s="133"/>
      <c r="E57" s="71"/>
      <c r="F57" s="72"/>
      <c r="G57" s="73"/>
      <c r="H57" s="72"/>
      <c r="I57" s="73"/>
      <c r="J57" s="74"/>
      <c r="K57" s="73"/>
      <c r="L57" s="74"/>
      <c r="M57" s="73"/>
      <c r="N57" s="74"/>
      <c r="O57" s="73"/>
      <c r="P57" s="74"/>
      <c r="Q57" s="75">
        <f t="shared" si="2"/>
        <v>0</v>
      </c>
      <c r="R57" s="76">
        <f t="shared" si="2"/>
        <v>0</v>
      </c>
    </row>
    <row r="58" spans="1:19" ht="16.05" customHeight="1">
      <c r="A58" s="70" t="s">
        <v>173</v>
      </c>
      <c r="B58" s="131" t="s">
        <v>43</v>
      </c>
      <c r="C58" s="132"/>
      <c r="D58" s="133"/>
      <c r="E58" s="71"/>
      <c r="F58" s="72"/>
      <c r="G58" s="73"/>
      <c r="H58" s="72"/>
      <c r="I58" s="73"/>
      <c r="J58" s="74"/>
      <c r="K58" s="94"/>
      <c r="L58" s="95"/>
      <c r="M58" s="73"/>
      <c r="N58" s="74"/>
      <c r="O58" s="73"/>
      <c r="P58" s="74"/>
      <c r="Q58" s="75">
        <f t="shared" si="2"/>
        <v>0</v>
      </c>
      <c r="R58" s="76">
        <f t="shared" si="2"/>
        <v>0</v>
      </c>
    </row>
    <row r="59" spans="1:19" ht="16.05" customHeight="1">
      <c r="A59" s="70" t="s">
        <v>174</v>
      </c>
      <c r="B59" s="131" t="s">
        <v>44</v>
      </c>
      <c r="C59" s="132"/>
      <c r="D59" s="133"/>
      <c r="E59" s="71"/>
      <c r="F59" s="72"/>
      <c r="G59" s="73"/>
      <c r="H59" s="72"/>
      <c r="I59" s="73"/>
      <c r="J59" s="74"/>
      <c r="K59" s="73"/>
      <c r="L59" s="74"/>
      <c r="M59" s="73"/>
      <c r="N59" s="74"/>
      <c r="O59" s="73"/>
      <c r="P59" s="74"/>
      <c r="Q59" s="75">
        <f t="shared" si="2"/>
        <v>0</v>
      </c>
      <c r="R59" s="76">
        <f t="shared" si="2"/>
        <v>0</v>
      </c>
    </row>
    <row r="60" spans="1:19" ht="16.05" customHeight="1">
      <c r="A60" s="70" t="s">
        <v>678</v>
      </c>
      <c r="B60" s="131" t="s">
        <v>722</v>
      </c>
      <c r="C60" s="132"/>
      <c r="D60" s="133"/>
      <c r="E60" s="71"/>
      <c r="F60" s="72"/>
      <c r="G60" s="73"/>
      <c r="H60" s="72"/>
      <c r="I60" s="73"/>
      <c r="J60" s="74"/>
      <c r="K60" s="73"/>
      <c r="L60" s="74"/>
      <c r="M60" s="73"/>
      <c r="N60" s="74"/>
      <c r="O60" s="73"/>
      <c r="P60" s="74"/>
      <c r="Q60" s="75">
        <f t="shared" si="2"/>
        <v>0</v>
      </c>
      <c r="R60" s="76">
        <f t="shared" si="2"/>
        <v>0</v>
      </c>
    </row>
    <row r="61" spans="1:19" ht="16.05" customHeight="1">
      <c r="A61" s="70" t="s">
        <v>137</v>
      </c>
      <c r="B61" s="131" t="s">
        <v>45</v>
      </c>
      <c r="C61" s="132"/>
      <c r="D61" s="133"/>
      <c r="E61" s="71"/>
      <c r="F61" s="72"/>
      <c r="G61" s="73"/>
      <c r="H61" s="72"/>
      <c r="I61" s="73"/>
      <c r="J61" s="74"/>
      <c r="K61" s="73"/>
      <c r="L61" s="74"/>
      <c r="M61" s="73"/>
      <c r="N61" s="74"/>
      <c r="O61" s="73"/>
      <c r="P61" s="74"/>
      <c r="Q61" s="75">
        <f t="shared" si="2"/>
        <v>0</v>
      </c>
      <c r="R61" s="76">
        <f t="shared" si="2"/>
        <v>0</v>
      </c>
    </row>
    <row r="62" spans="1:19" s="97" customFormat="1" ht="16.05" customHeight="1">
      <c r="A62" s="16" t="s">
        <v>176</v>
      </c>
      <c r="B62" s="167" t="s">
        <v>175</v>
      </c>
      <c r="C62" s="168"/>
      <c r="D62" s="169"/>
      <c r="E62" s="17"/>
      <c r="F62" s="18"/>
      <c r="G62" s="19"/>
      <c r="H62" s="18"/>
      <c r="I62" s="19"/>
      <c r="J62" s="20"/>
      <c r="K62" s="19"/>
      <c r="L62" s="20"/>
      <c r="M62" s="19"/>
      <c r="N62" s="20"/>
      <c r="O62" s="19"/>
      <c r="P62" s="20"/>
      <c r="Q62" s="96">
        <f t="shared" si="2"/>
        <v>0</v>
      </c>
      <c r="R62" s="21">
        <f t="shared" si="2"/>
        <v>0</v>
      </c>
      <c r="S62" s="97" t="s">
        <v>718</v>
      </c>
    </row>
    <row r="63" spans="1:19" s="97" customFormat="1" ht="16.05" customHeight="1">
      <c r="A63" s="16" t="s">
        <v>177</v>
      </c>
      <c r="B63" s="167" t="s">
        <v>768</v>
      </c>
      <c r="C63" s="168"/>
      <c r="D63" s="169"/>
      <c r="E63" s="17"/>
      <c r="F63" s="18"/>
      <c r="G63" s="19"/>
      <c r="H63" s="18"/>
      <c r="I63" s="19"/>
      <c r="J63" s="20"/>
      <c r="K63" s="19"/>
      <c r="L63" s="20"/>
      <c r="M63" s="19"/>
      <c r="N63" s="20"/>
      <c r="O63" s="19"/>
      <c r="P63" s="20"/>
      <c r="Q63" s="96">
        <f t="shared" si="2"/>
        <v>0</v>
      </c>
      <c r="R63" s="21">
        <f t="shared" si="2"/>
        <v>0</v>
      </c>
      <c r="S63" s="97" t="s">
        <v>718</v>
      </c>
    </row>
    <row r="64" spans="1:19" ht="16.05" customHeight="1">
      <c r="A64" s="70" t="s">
        <v>637</v>
      </c>
      <c r="B64" s="131" t="s">
        <v>716</v>
      </c>
      <c r="C64" s="132"/>
      <c r="D64" s="133"/>
      <c r="E64" s="71"/>
      <c r="F64" s="72"/>
      <c r="G64" s="73"/>
      <c r="H64" s="72"/>
      <c r="I64" s="73"/>
      <c r="J64" s="74"/>
      <c r="K64" s="73"/>
      <c r="L64" s="74"/>
      <c r="M64" s="73"/>
      <c r="N64" s="74"/>
      <c r="O64" s="73"/>
      <c r="P64" s="74"/>
      <c r="Q64" s="75">
        <f t="shared" si="2"/>
        <v>0</v>
      </c>
      <c r="R64" s="76">
        <f t="shared" si="2"/>
        <v>0</v>
      </c>
    </row>
    <row r="65" spans="1:21" ht="16.05" customHeight="1">
      <c r="A65" s="70" t="s">
        <v>639</v>
      </c>
      <c r="B65" s="131" t="s">
        <v>717</v>
      </c>
      <c r="C65" s="132"/>
      <c r="D65" s="133"/>
      <c r="E65" s="71"/>
      <c r="F65" s="72"/>
      <c r="G65" s="73"/>
      <c r="H65" s="72"/>
      <c r="I65" s="73"/>
      <c r="J65" s="74"/>
      <c r="K65" s="73"/>
      <c r="L65" s="74"/>
      <c r="M65" s="73"/>
      <c r="N65" s="74"/>
      <c r="O65" s="73"/>
      <c r="P65" s="74"/>
      <c r="Q65" s="75">
        <f t="shared" si="2"/>
        <v>0</v>
      </c>
      <c r="R65" s="76">
        <f t="shared" si="2"/>
        <v>0</v>
      </c>
    </row>
    <row r="66" spans="1:21" ht="16.05" customHeight="1">
      <c r="A66" s="70" t="s">
        <v>179</v>
      </c>
      <c r="B66" s="131" t="s">
        <v>178</v>
      </c>
      <c r="C66" s="132"/>
      <c r="D66" s="133"/>
      <c r="E66" s="71"/>
      <c r="F66" s="72"/>
      <c r="G66" s="73"/>
      <c r="H66" s="72"/>
      <c r="I66" s="73"/>
      <c r="J66" s="74"/>
      <c r="K66" s="73"/>
      <c r="L66" s="74"/>
      <c r="M66" s="73"/>
      <c r="N66" s="74"/>
      <c r="O66" s="73"/>
      <c r="P66" s="74"/>
      <c r="Q66" s="75">
        <f t="shared" si="2"/>
        <v>0</v>
      </c>
      <c r="R66" s="76">
        <f t="shared" si="2"/>
        <v>0</v>
      </c>
    </row>
    <row r="67" spans="1:21" ht="16.05" customHeight="1">
      <c r="A67" s="70" t="s">
        <v>181</v>
      </c>
      <c r="B67" s="131" t="s">
        <v>180</v>
      </c>
      <c r="C67" s="132"/>
      <c r="D67" s="133"/>
      <c r="E67" s="71"/>
      <c r="F67" s="72"/>
      <c r="G67" s="73"/>
      <c r="H67" s="72"/>
      <c r="I67" s="73"/>
      <c r="J67" s="74"/>
      <c r="K67" s="73"/>
      <c r="L67" s="74"/>
      <c r="M67" s="73"/>
      <c r="N67" s="74"/>
      <c r="O67" s="73"/>
      <c r="P67" s="74"/>
      <c r="Q67" s="75">
        <f t="shared" si="2"/>
        <v>0</v>
      </c>
      <c r="R67" s="76">
        <f t="shared" si="2"/>
        <v>0</v>
      </c>
    </row>
    <row r="68" spans="1:21" ht="16.05" customHeight="1">
      <c r="A68" s="70" t="s">
        <v>183</v>
      </c>
      <c r="B68" s="131" t="s">
        <v>182</v>
      </c>
      <c r="C68" s="132"/>
      <c r="D68" s="133"/>
      <c r="E68" s="71"/>
      <c r="F68" s="72"/>
      <c r="G68" s="73"/>
      <c r="H68" s="72"/>
      <c r="I68" s="73"/>
      <c r="J68" s="74"/>
      <c r="K68" s="73"/>
      <c r="L68" s="74"/>
      <c r="M68" s="73"/>
      <c r="N68" s="74"/>
      <c r="O68" s="73"/>
      <c r="P68" s="74"/>
      <c r="Q68" s="75">
        <f t="shared" si="2"/>
        <v>0</v>
      </c>
      <c r="R68" s="76">
        <f t="shared" si="2"/>
        <v>0</v>
      </c>
    </row>
    <row r="69" spans="1:21" ht="16.05" customHeight="1">
      <c r="A69" s="70" t="s">
        <v>184</v>
      </c>
      <c r="B69" s="131" t="s">
        <v>46</v>
      </c>
      <c r="C69" s="132"/>
      <c r="D69" s="133"/>
      <c r="E69" s="71"/>
      <c r="F69" s="72"/>
      <c r="G69" s="73"/>
      <c r="H69" s="72"/>
      <c r="I69" s="73"/>
      <c r="J69" s="74"/>
      <c r="K69" s="73"/>
      <c r="L69" s="74"/>
      <c r="M69" s="73"/>
      <c r="N69" s="74"/>
      <c r="O69" s="73"/>
      <c r="P69" s="74"/>
      <c r="Q69" s="75">
        <f t="shared" si="2"/>
        <v>0</v>
      </c>
      <c r="R69" s="76">
        <f t="shared" si="2"/>
        <v>0</v>
      </c>
    </row>
    <row r="70" spans="1:21" ht="16.05" customHeight="1">
      <c r="A70" s="70" t="s">
        <v>185</v>
      </c>
      <c r="B70" s="131" t="s">
        <v>47</v>
      </c>
      <c r="C70" s="132"/>
      <c r="D70" s="133"/>
      <c r="E70" s="71"/>
      <c r="F70" s="72"/>
      <c r="G70" s="73"/>
      <c r="H70" s="72"/>
      <c r="I70" s="73"/>
      <c r="J70" s="74"/>
      <c r="K70" s="73"/>
      <c r="L70" s="74"/>
      <c r="M70" s="73"/>
      <c r="N70" s="74"/>
      <c r="O70" s="73"/>
      <c r="P70" s="74"/>
      <c r="Q70" s="75">
        <f t="shared" si="2"/>
        <v>0</v>
      </c>
      <c r="R70" s="76">
        <f t="shared" si="2"/>
        <v>0</v>
      </c>
      <c r="U70" s="77"/>
    </row>
    <row r="71" spans="1:21" ht="16.05" customHeight="1">
      <c r="A71" s="70" t="s">
        <v>187</v>
      </c>
      <c r="B71" s="131" t="s">
        <v>186</v>
      </c>
      <c r="C71" s="132"/>
      <c r="D71" s="133"/>
      <c r="E71" s="71"/>
      <c r="F71" s="72"/>
      <c r="G71" s="73"/>
      <c r="H71" s="72"/>
      <c r="I71" s="73"/>
      <c r="J71" s="74"/>
      <c r="K71" s="73"/>
      <c r="L71" s="74"/>
      <c r="M71" s="73"/>
      <c r="N71" s="74"/>
      <c r="O71" s="73"/>
      <c r="P71" s="74"/>
      <c r="Q71" s="75">
        <f t="shared" si="2"/>
        <v>0</v>
      </c>
      <c r="R71" s="76">
        <f t="shared" si="2"/>
        <v>0</v>
      </c>
    </row>
    <row r="72" spans="1:21" ht="16.05" customHeight="1">
      <c r="A72" s="70" t="s">
        <v>189</v>
      </c>
      <c r="B72" s="166" t="s">
        <v>188</v>
      </c>
      <c r="C72" s="145"/>
      <c r="D72" s="146"/>
      <c r="E72" s="71"/>
      <c r="F72" s="72"/>
      <c r="G72" s="73"/>
      <c r="H72" s="72"/>
      <c r="I72" s="73"/>
      <c r="J72" s="74"/>
      <c r="K72" s="73"/>
      <c r="L72" s="74"/>
      <c r="M72" s="73"/>
      <c r="N72" s="74"/>
      <c r="O72" s="73"/>
      <c r="P72" s="74"/>
      <c r="Q72" s="75">
        <f t="shared" si="2"/>
        <v>0</v>
      </c>
      <c r="R72" s="76">
        <f t="shared" si="2"/>
        <v>0</v>
      </c>
    </row>
    <row r="73" spans="1:21" ht="15.6" customHeight="1">
      <c r="A73" s="70" t="s">
        <v>190</v>
      </c>
      <c r="B73" s="131" t="s">
        <v>48</v>
      </c>
      <c r="C73" s="132"/>
      <c r="D73" s="133"/>
      <c r="E73" s="71"/>
      <c r="F73" s="72"/>
      <c r="G73" s="73"/>
      <c r="H73" s="72"/>
      <c r="I73" s="73"/>
      <c r="J73" s="74"/>
      <c r="K73" s="73"/>
      <c r="L73" s="74"/>
      <c r="M73" s="73"/>
      <c r="N73" s="74"/>
      <c r="O73" s="73"/>
      <c r="P73" s="74"/>
      <c r="Q73" s="75">
        <f t="shared" si="2"/>
        <v>0</v>
      </c>
      <c r="R73" s="76">
        <f t="shared" si="2"/>
        <v>0</v>
      </c>
    </row>
    <row r="74" spans="1:21" ht="16.05" customHeight="1">
      <c r="A74" s="70" t="s">
        <v>191</v>
      </c>
      <c r="B74" s="131" t="s">
        <v>192</v>
      </c>
      <c r="C74" s="132"/>
      <c r="D74" s="133"/>
      <c r="E74" s="71"/>
      <c r="F74" s="72"/>
      <c r="G74" s="73"/>
      <c r="H74" s="72"/>
      <c r="I74" s="73"/>
      <c r="J74" s="74"/>
      <c r="K74" s="73"/>
      <c r="L74" s="74"/>
      <c r="M74" s="73"/>
      <c r="N74" s="74"/>
      <c r="O74" s="73"/>
      <c r="P74" s="74"/>
      <c r="Q74" s="75">
        <f t="shared" si="2"/>
        <v>0</v>
      </c>
      <c r="R74" s="76">
        <f t="shared" si="2"/>
        <v>0</v>
      </c>
    </row>
    <row r="75" spans="1:21" ht="16.05" customHeight="1">
      <c r="A75" s="70" t="s">
        <v>594</v>
      </c>
      <c r="B75" s="131" t="s">
        <v>598</v>
      </c>
      <c r="C75" s="132"/>
      <c r="D75" s="133"/>
      <c r="E75" s="71"/>
      <c r="F75" s="72"/>
      <c r="G75" s="73"/>
      <c r="H75" s="72"/>
      <c r="I75" s="73"/>
      <c r="J75" s="74"/>
      <c r="K75" s="73"/>
      <c r="L75" s="74"/>
      <c r="M75" s="73"/>
      <c r="N75" s="74"/>
      <c r="O75" s="73"/>
      <c r="P75" s="74"/>
      <c r="Q75" s="75">
        <f t="shared" si="2"/>
        <v>0</v>
      </c>
      <c r="R75" s="76">
        <f t="shared" si="2"/>
        <v>0</v>
      </c>
    </row>
    <row r="76" spans="1:21" ht="16.05" customHeight="1">
      <c r="A76" s="70" t="s">
        <v>137</v>
      </c>
      <c r="B76" s="131" t="s">
        <v>49</v>
      </c>
      <c r="C76" s="132"/>
      <c r="D76" s="133"/>
      <c r="E76" s="71"/>
      <c r="F76" s="72"/>
      <c r="G76" s="73"/>
      <c r="H76" s="72"/>
      <c r="I76" s="73"/>
      <c r="J76" s="74"/>
      <c r="K76" s="73"/>
      <c r="L76" s="74"/>
      <c r="M76" s="73"/>
      <c r="N76" s="74"/>
      <c r="O76" s="73"/>
      <c r="P76" s="74"/>
      <c r="Q76" s="75">
        <f t="shared" si="2"/>
        <v>0</v>
      </c>
      <c r="R76" s="76">
        <f t="shared" si="2"/>
        <v>0</v>
      </c>
    </row>
    <row r="77" spans="1:21" ht="16.05" customHeight="1">
      <c r="A77" s="70" t="s">
        <v>193</v>
      </c>
      <c r="B77" s="131" t="s">
        <v>13</v>
      </c>
      <c r="C77" s="132"/>
      <c r="D77" s="133"/>
      <c r="E77" s="71"/>
      <c r="F77" s="72"/>
      <c r="G77" s="73"/>
      <c r="H77" s="72"/>
      <c r="I77" s="73"/>
      <c r="J77" s="74"/>
      <c r="K77" s="73"/>
      <c r="L77" s="74"/>
      <c r="M77" s="73"/>
      <c r="N77" s="74"/>
      <c r="O77" s="73"/>
      <c r="P77" s="74"/>
      <c r="Q77" s="75">
        <f t="shared" si="2"/>
        <v>0</v>
      </c>
      <c r="R77" s="76">
        <f t="shared" si="2"/>
        <v>0</v>
      </c>
    </row>
    <row r="78" spans="1:21" ht="16.05" customHeight="1">
      <c r="A78" s="70" t="s">
        <v>669</v>
      </c>
      <c r="B78" s="131" t="s">
        <v>12</v>
      </c>
      <c r="C78" s="132"/>
      <c r="D78" s="133"/>
      <c r="E78" s="71"/>
      <c r="F78" s="72"/>
      <c r="G78" s="73"/>
      <c r="H78" s="72"/>
      <c r="I78" s="73"/>
      <c r="J78" s="74"/>
      <c r="K78" s="73"/>
      <c r="L78" s="74"/>
      <c r="M78" s="73"/>
      <c r="N78" s="74"/>
      <c r="O78" s="73"/>
      <c r="P78" s="74"/>
      <c r="Q78" s="75">
        <f t="shared" si="2"/>
        <v>0</v>
      </c>
      <c r="R78" s="76">
        <f t="shared" si="2"/>
        <v>0</v>
      </c>
    </row>
    <row r="79" spans="1:21" ht="16.05" customHeight="1">
      <c r="A79" s="70" t="s">
        <v>194</v>
      </c>
      <c r="B79" s="131" t="s">
        <v>50</v>
      </c>
      <c r="C79" s="132"/>
      <c r="D79" s="133"/>
      <c r="E79" s="71"/>
      <c r="F79" s="72"/>
      <c r="G79" s="73"/>
      <c r="H79" s="72"/>
      <c r="I79" s="73"/>
      <c r="J79" s="74"/>
      <c r="K79" s="73"/>
      <c r="L79" s="74"/>
      <c r="M79" s="73"/>
      <c r="N79" s="74"/>
      <c r="O79" s="73"/>
      <c r="P79" s="74"/>
      <c r="Q79" s="75">
        <f t="shared" si="2"/>
        <v>0</v>
      </c>
      <c r="R79" s="76">
        <f t="shared" si="2"/>
        <v>0</v>
      </c>
    </row>
    <row r="80" spans="1:21" ht="16.05" customHeight="1">
      <c r="A80" s="70" t="s">
        <v>195</v>
      </c>
      <c r="B80" s="131" t="s">
        <v>39</v>
      </c>
      <c r="C80" s="132"/>
      <c r="D80" s="133"/>
      <c r="E80" s="71"/>
      <c r="F80" s="72"/>
      <c r="G80" s="73"/>
      <c r="H80" s="72"/>
      <c r="I80" s="73"/>
      <c r="J80" s="74"/>
      <c r="K80" s="73"/>
      <c r="L80" s="74"/>
      <c r="M80" s="73"/>
      <c r="N80" s="74"/>
      <c r="O80" s="73"/>
      <c r="P80" s="74"/>
      <c r="Q80" s="75">
        <f t="shared" si="2"/>
        <v>0</v>
      </c>
      <c r="R80" s="76">
        <f t="shared" si="2"/>
        <v>0</v>
      </c>
    </row>
    <row r="81" spans="1:18" ht="16.05" customHeight="1">
      <c r="A81" s="70" t="s">
        <v>137</v>
      </c>
      <c r="B81" s="131" t="s">
        <v>51</v>
      </c>
      <c r="C81" s="132"/>
      <c r="D81" s="133"/>
      <c r="E81" s="71"/>
      <c r="F81" s="72"/>
      <c r="G81" s="73"/>
      <c r="H81" s="72"/>
      <c r="I81" s="73"/>
      <c r="J81" s="74"/>
      <c r="K81" s="73"/>
      <c r="L81" s="74"/>
      <c r="M81" s="73"/>
      <c r="N81" s="74"/>
      <c r="O81" s="73"/>
      <c r="P81" s="74"/>
      <c r="Q81" s="75">
        <f t="shared" si="2"/>
        <v>0</v>
      </c>
      <c r="R81" s="76">
        <f t="shared" si="2"/>
        <v>0</v>
      </c>
    </row>
    <row r="82" spans="1:18" ht="16.05" customHeight="1">
      <c r="A82" s="70" t="s">
        <v>196</v>
      </c>
      <c r="B82" s="131" t="s">
        <v>52</v>
      </c>
      <c r="C82" s="132"/>
      <c r="D82" s="133"/>
      <c r="E82" s="71"/>
      <c r="F82" s="72"/>
      <c r="G82" s="73"/>
      <c r="H82" s="72"/>
      <c r="I82" s="73"/>
      <c r="J82" s="74"/>
      <c r="K82" s="73"/>
      <c r="L82" s="74"/>
      <c r="M82" s="73"/>
      <c r="N82" s="74"/>
      <c r="O82" s="73"/>
      <c r="P82" s="74"/>
      <c r="Q82" s="75">
        <f t="shared" ref="Q82:R85" si="3">E82+G82+I82+K82+M82+O82</f>
        <v>0</v>
      </c>
      <c r="R82" s="76">
        <f t="shared" si="3"/>
        <v>0</v>
      </c>
    </row>
    <row r="83" spans="1:18" ht="16.05" customHeight="1">
      <c r="A83" s="70" t="s">
        <v>197</v>
      </c>
      <c r="B83" s="131" t="s">
        <v>53</v>
      </c>
      <c r="C83" s="132"/>
      <c r="D83" s="133"/>
      <c r="E83" s="71"/>
      <c r="F83" s="72"/>
      <c r="G83" s="73"/>
      <c r="H83" s="72"/>
      <c r="I83" s="73"/>
      <c r="J83" s="74"/>
      <c r="K83" s="73"/>
      <c r="L83" s="74"/>
      <c r="M83" s="73"/>
      <c r="N83" s="74"/>
      <c r="O83" s="73"/>
      <c r="P83" s="74"/>
      <c r="Q83" s="75">
        <f t="shared" si="3"/>
        <v>0</v>
      </c>
      <c r="R83" s="76">
        <f t="shared" si="3"/>
        <v>0</v>
      </c>
    </row>
    <row r="84" spans="1:18" ht="16.05" customHeight="1">
      <c r="A84" s="70" t="s">
        <v>198</v>
      </c>
      <c r="B84" s="131" t="s">
        <v>54</v>
      </c>
      <c r="C84" s="132"/>
      <c r="D84" s="133"/>
      <c r="E84" s="71"/>
      <c r="F84" s="72"/>
      <c r="G84" s="73"/>
      <c r="H84" s="72"/>
      <c r="I84" s="73"/>
      <c r="J84" s="74"/>
      <c r="K84" s="73"/>
      <c r="L84" s="74"/>
      <c r="M84" s="73"/>
      <c r="N84" s="74"/>
      <c r="O84" s="73"/>
      <c r="P84" s="74"/>
      <c r="Q84" s="75">
        <f t="shared" si="3"/>
        <v>0</v>
      </c>
      <c r="R84" s="76">
        <f t="shared" si="3"/>
        <v>0</v>
      </c>
    </row>
    <row r="85" spans="1:18" ht="16.05" customHeight="1">
      <c r="A85" s="70" t="s">
        <v>199</v>
      </c>
      <c r="B85" s="131" t="s">
        <v>55</v>
      </c>
      <c r="C85" s="132"/>
      <c r="D85" s="133"/>
      <c r="E85" s="71"/>
      <c r="F85" s="72"/>
      <c r="G85" s="73"/>
      <c r="H85" s="72"/>
      <c r="I85" s="73"/>
      <c r="J85" s="74"/>
      <c r="K85" s="73"/>
      <c r="L85" s="74"/>
      <c r="M85" s="73"/>
      <c r="N85" s="74"/>
      <c r="O85" s="73"/>
      <c r="P85" s="74"/>
      <c r="Q85" s="75">
        <f t="shared" si="3"/>
        <v>0</v>
      </c>
      <c r="R85" s="76">
        <f t="shared" si="3"/>
        <v>0</v>
      </c>
    </row>
    <row r="86" spans="1:18" ht="16.05" customHeight="1" thickBot="1">
      <c r="A86" s="70" t="s">
        <v>137</v>
      </c>
      <c r="B86" s="134"/>
      <c r="C86" s="135"/>
      <c r="D86" s="136"/>
      <c r="E86" s="98"/>
      <c r="F86" s="99"/>
      <c r="G86" s="100"/>
      <c r="H86" s="99"/>
      <c r="I86" s="100"/>
      <c r="J86" s="101"/>
      <c r="K86" s="100"/>
      <c r="L86" s="101"/>
      <c r="M86" s="100"/>
      <c r="N86" s="101"/>
      <c r="O86" s="100"/>
      <c r="P86" s="101"/>
      <c r="Q86" s="100"/>
      <c r="R86" s="102"/>
    </row>
    <row r="87" spans="1:18" ht="27.6" thickTop="1" thickBot="1">
      <c r="C87" s="56" t="s">
        <v>0</v>
      </c>
      <c r="D87" s="57"/>
      <c r="E87" s="57"/>
      <c r="F87" s="57"/>
      <c r="G87" s="57"/>
      <c r="H87" s="57"/>
      <c r="I87" s="57"/>
      <c r="J87" s="57"/>
      <c r="K87" s="57"/>
      <c r="L87" s="165" t="str">
        <f>L42</f>
        <v>2026年</v>
      </c>
      <c r="M87" s="165"/>
      <c r="N87" s="58" t="s">
        <v>1118</v>
      </c>
      <c r="O87" s="57" t="s">
        <v>1119</v>
      </c>
      <c r="P87" s="58"/>
      <c r="Q87" s="57"/>
    </row>
    <row r="88" spans="1:18" ht="19.2" thickTop="1" thickBot="1">
      <c r="A88" s="154" t="s">
        <v>135</v>
      </c>
      <c r="B88" s="156" t="s">
        <v>1</v>
      </c>
      <c r="C88" s="157"/>
      <c r="D88" s="158"/>
      <c r="E88" s="162" t="s">
        <v>2</v>
      </c>
      <c r="F88" s="147"/>
      <c r="G88" s="163" t="s">
        <v>3</v>
      </c>
      <c r="H88" s="148"/>
      <c r="I88" s="163" t="s">
        <v>4</v>
      </c>
      <c r="J88" s="148"/>
      <c r="K88" s="147" t="s">
        <v>5</v>
      </c>
      <c r="L88" s="148"/>
      <c r="M88" s="147" t="str">
        <f>$M$2</f>
        <v>川崎</v>
      </c>
      <c r="N88" s="148"/>
      <c r="O88" s="147" t="str">
        <f>$O$2</f>
        <v>野村</v>
      </c>
      <c r="P88" s="148"/>
      <c r="Q88" s="147" t="s">
        <v>6</v>
      </c>
      <c r="R88" s="149"/>
    </row>
    <row r="89" spans="1:18" ht="19.2" thickTop="1" thickBot="1">
      <c r="A89" s="155"/>
      <c r="B89" s="159"/>
      <c r="C89" s="160"/>
      <c r="D89" s="161"/>
      <c r="E89" s="59" t="s">
        <v>7</v>
      </c>
      <c r="F89" s="60" t="s">
        <v>8</v>
      </c>
      <c r="G89" s="61" t="s">
        <v>7</v>
      </c>
      <c r="H89" s="60" t="s">
        <v>8</v>
      </c>
      <c r="I89" s="61" t="s">
        <v>7</v>
      </c>
      <c r="J89" s="62" t="s">
        <v>8</v>
      </c>
      <c r="K89" s="61" t="s">
        <v>7</v>
      </c>
      <c r="L89" s="62" t="s">
        <v>8</v>
      </c>
      <c r="M89" s="61" t="s">
        <v>7</v>
      </c>
      <c r="N89" s="62" t="s">
        <v>8</v>
      </c>
      <c r="O89" s="61" t="s">
        <v>7</v>
      </c>
      <c r="P89" s="62" t="s">
        <v>8</v>
      </c>
      <c r="Q89" s="61" t="s">
        <v>7</v>
      </c>
      <c r="R89" s="63" t="s">
        <v>8</v>
      </c>
    </row>
    <row r="90" spans="1:18" ht="18.600000000000001" thickTop="1">
      <c r="A90" s="64"/>
      <c r="B90" s="150" t="s">
        <v>56</v>
      </c>
      <c r="C90" s="151"/>
      <c r="D90" s="152"/>
      <c r="E90" s="65"/>
      <c r="G90" s="66"/>
      <c r="I90" s="66"/>
      <c r="J90" s="67"/>
      <c r="K90" s="66"/>
      <c r="L90" s="67"/>
      <c r="M90" s="66"/>
      <c r="N90" s="67"/>
      <c r="O90" s="66"/>
      <c r="P90" s="67"/>
      <c r="Q90" s="68">
        <f>E90+G90+I90+K90+M90+O90</f>
        <v>0</v>
      </c>
      <c r="R90" s="69">
        <f>F90+H90+J90+L90+N90+P90</f>
        <v>0</v>
      </c>
    </row>
    <row r="91" spans="1:18">
      <c r="A91" s="70" t="s">
        <v>200</v>
      </c>
      <c r="B91" s="131" t="s">
        <v>57</v>
      </c>
      <c r="C91" s="132"/>
      <c r="D91" s="133"/>
      <c r="E91" s="71"/>
      <c r="F91" s="72"/>
      <c r="G91" s="73"/>
      <c r="H91" s="72"/>
      <c r="I91" s="73"/>
      <c r="J91" s="74"/>
      <c r="K91" s="73"/>
      <c r="L91" s="74"/>
      <c r="M91" s="73"/>
      <c r="N91" s="74"/>
      <c r="O91" s="73"/>
      <c r="P91" s="74"/>
      <c r="Q91" s="75">
        <f>E91+G91+I91+K91+M91+O91</f>
        <v>0</v>
      </c>
      <c r="R91" s="76">
        <f>F91+H91+J91+L91+N91+P91</f>
        <v>0</v>
      </c>
    </row>
    <row r="92" spans="1:18">
      <c r="A92" s="70" t="s">
        <v>201</v>
      </c>
      <c r="B92" s="131" t="s">
        <v>58</v>
      </c>
      <c r="C92" s="132"/>
      <c r="D92" s="133"/>
      <c r="E92" s="71"/>
      <c r="F92" s="72"/>
      <c r="G92" s="73"/>
      <c r="H92" s="72"/>
      <c r="I92" s="73"/>
      <c r="J92" s="74"/>
      <c r="K92" s="73"/>
      <c r="L92" s="74"/>
      <c r="M92" s="73"/>
      <c r="N92" s="74"/>
      <c r="O92" s="73"/>
      <c r="P92" s="74"/>
      <c r="Q92" s="75">
        <f t="shared" ref="Q92:R126" si="4">E92+G92+I92+K92+M92+O92</f>
        <v>0</v>
      </c>
      <c r="R92" s="76">
        <f t="shared" si="4"/>
        <v>0</v>
      </c>
    </row>
    <row r="93" spans="1:18">
      <c r="A93" s="70" t="s">
        <v>202</v>
      </c>
      <c r="B93" s="131" t="s">
        <v>59</v>
      </c>
      <c r="C93" s="132"/>
      <c r="D93" s="133"/>
      <c r="E93" s="71"/>
      <c r="F93" s="72"/>
      <c r="G93" s="73"/>
      <c r="H93" s="72"/>
      <c r="I93" s="73"/>
      <c r="J93" s="74"/>
      <c r="K93" s="73"/>
      <c r="L93" s="74"/>
      <c r="M93" s="73"/>
      <c r="N93" s="74"/>
      <c r="O93" s="73"/>
      <c r="P93" s="74"/>
      <c r="Q93" s="75">
        <f t="shared" si="4"/>
        <v>0</v>
      </c>
      <c r="R93" s="76">
        <f t="shared" si="4"/>
        <v>0</v>
      </c>
    </row>
    <row r="94" spans="1:18">
      <c r="A94" s="70" t="s">
        <v>203</v>
      </c>
      <c r="B94" s="131" t="s">
        <v>60</v>
      </c>
      <c r="C94" s="132"/>
      <c r="D94" s="133"/>
      <c r="E94" s="71"/>
      <c r="F94" s="72"/>
      <c r="G94" s="73"/>
      <c r="H94" s="72"/>
      <c r="I94" s="73"/>
      <c r="J94" s="74"/>
      <c r="K94" s="73"/>
      <c r="L94" s="74"/>
      <c r="M94" s="73"/>
      <c r="N94" s="74"/>
      <c r="O94" s="73"/>
      <c r="P94" s="74"/>
      <c r="Q94" s="75">
        <f t="shared" si="4"/>
        <v>0</v>
      </c>
      <c r="R94" s="76">
        <f t="shared" si="4"/>
        <v>0</v>
      </c>
    </row>
    <row r="95" spans="1:18">
      <c r="A95" s="70" t="s">
        <v>204</v>
      </c>
      <c r="B95" s="131" t="s">
        <v>61</v>
      </c>
      <c r="C95" s="132"/>
      <c r="D95" s="133"/>
      <c r="E95" s="71"/>
      <c r="F95" s="72"/>
      <c r="G95" s="73"/>
      <c r="H95" s="72"/>
      <c r="I95" s="73"/>
      <c r="J95" s="74"/>
      <c r="K95" s="73"/>
      <c r="L95" s="74"/>
      <c r="M95" s="73"/>
      <c r="N95" s="74"/>
      <c r="O95" s="73"/>
      <c r="P95" s="74"/>
      <c r="Q95" s="75">
        <f t="shared" si="4"/>
        <v>0</v>
      </c>
      <c r="R95" s="76">
        <f t="shared" si="4"/>
        <v>0</v>
      </c>
    </row>
    <row r="96" spans="1:18">
      <c r="A96" s="70" t="s">
        <v>205</v>
      </c>
      <c r="B96" s="131" t="s">
        <v>62</v>
      </c>
      <c r="C96" s="132"/>
      <c r="D96" s="133"/>
      <c r="E96" s="71"/>
      <c r="F96" s="72"/>
      <c r="G96" s="73"/>
      <c r="H96" s="72"/>
      <c r="I96" s="73"/>
      <c r="J96" s="74"/>
      <c r="K96" s="73"/>
      <c r="L96" s="74"/>
      <c r="M96" s="73"/>
      <c r="N96" s="74"/>
      <c r="O96" s="73"/>
      <c r="P96" s="74"/>
      <c r="Q96" s="75">
        <f t="shared" si="4"/>
        <v>0</v>
      </c>
      <c r="R96" s="76">
        <f t="shared" si="4"/>
        <v>0</v>
      </c>
    </row>
    <row r="97" spans="1:18">
      <c r="A97" s="70" t="s">
        <v>206</v>
      </c>
      <c r="B97" s="131" t="s">
        <v>63</v>
      </c>
      <c r="C97" s="132"/>
      <c r="D97" s="133"/>
      <c r="E97" s="71"/>
      <c r="F97" s="72"/>
      <c r="G97" s="73"/>
      <c r="H97" s="72"/>
      <c r="I97" s="73"/>
      <c r="J97" s="74"/>
      <c r="K97" s="73"/>
      <c r="L97" s="74"/>
      <c r="M97" s="73"/>
      <c r="N97" s="74"/>
      <c r="O97" s="73"/>
      <c r="P97" s="74"/>
      <c r="Q97" s="75">
        <f t="shared" si="4"/>
        <v>0</v>
      </c>
      <c r="R97" s="76">
        <f t="shared" si="4"/>
        <v>0</v>
      </c>
    </row>
    <row r="98" spans="1:18">
      <c r="A98" s="70" t="s">
        <v>207</v>
      </c>
      <c r="B98" s="131" t="s">
        <v>64</v>
      </c>
      <c r="C98" s="132"/>
      <c r="D98" s="133"/>
      <c r="E98" s="71"/>
      <c r="F98" s="72"/>
      <c r="G98" s="73"/>
      <c r="H98" s="72"/>
      <c r="I98" s="73"/>
      <c r="J98" s="74"/>
      <c r="K98" s="73"/>
      <c r="L98" s="74"/>
      <c r="M98" s="73"/>
      <c r="N98" s="74"/>
      <c r="O98" s="73"/>
      <c r="P98" s="74"/>
      <c r="Q98" s="75">
        <f t="shared" si="4"/>
        <v>0</v>
      </c>
      <c r="R98" s="76">
        <f t="shared" si="4"/>
        <v>0</v>
      </c>
    </row>
    <row r="99" spans="1:18">
      <c r="A99" s="70" t="s">
        <v>208</v>
      </c>
      <c r="B99" s="131" t="s">
        <v>65</v>
      </c>
      <c r="C99" s="132"/>
      <c r="D99" s="133"/>
      <c r="E99" s="71"/>
      <c r="F99" s="72"/>
      <c r="G99" s="73"/>
      <c r="H99" s="72"/>
      <c r="I99" s="73"/>
      <c r="J99" s="74"/>
      <c r="K99" s="73"/>
      <c r="L99" s="74"/>
      <c r="M99" s="73"/>
      <c r="N99" s="74"/>
      <c r="O99" s="73"/>
      <c r="P99" s="74"/>
      <c r="Q99" s="75">
        <f t="shared" si="4"/>
        <v>0</v>
      </c>
      <c r="R99" s="76">
        <f t="shared" si="4"/>
        <v>0</v>
      </c>
    </row>
    <row r="100" spans="1:18">
      <c r="A100" s="70" t="s">
        <v>137</v>
      </c>
      <c r="B100" s="131" t="s">
        <v>66</v>
      </c>
      <c r="C100" s="132"/>
      <c r="D100" s="133"/>
      <c r="E100" s="71"/>
      <c r="F100" s="72"/>
      <c r="G100" s="73"/>
      <c r="H100" s="72"/>
      <c r="I100" s="73"/>
      <c r="J100" s="74"/>
      <c r="K100" s="73"/>
      <c r="L100" s="74"/>
      <c r="M100" s="73"/>
      <c r="N100" s="74"/>
      <c r="O100" s="73"/>
      <c r="P100" s="74"/>
      <c r="Q100" s="75">
        <f t="shared" si="4"/>
        <v>0</v>
      </c>
      <c r="R100" s="76">
        <f t="shared" si="4"/>
        <v>0</v>
      </c>
    </row>
    <row r="101" spans="1:18">
      <c r="A101" s="70" t="s">
        <v>209</v>
      </c>
      <c r="B101" s="131" t="s">
        <v>67</v>
      </c>
      <c r="C101" s="132"/>
      <c r="D101" s="133"/>
      <c r="E101" s="71"/>
      <c r="F101" s="72"/>
      <c r="G101" s="73"/>
      <c r="H101" s="72"/>
      <c r="I101" s="73"/>
      <c r="J101" s="74"/>
      <c r="K101" s="73"/>
      <c r="L101" s="74"/>
      <c r="M101" s="73"/>
      <c r="N101" s="74"/>
      <c r="O101" s="73"/>
      <c r="P101" s="74"/>
      <c r="Q101" s="75">
        <f t="shared" si="4"/>
        <v>0</v>
      </c>
      <c r="R101" s="76">
        <f t="shared" si="4"/>
        <v>0</v>
      </c>
    </row>
    <row r="102" spans="1:18">
      <c r="A102" s="70" t="s">
        <v>210</v>
      </c>
      <c r="B102" s="131" t="s">
        <v>68</v>
      </c>
      <c r="C102" s="132"/>
      <c r="D102" s="133"/>
      <c r="E102" s="71"/>
      <c r="F102" s="72"/>
      <c r="G102" s="73"/>
      <c r="H102" s="72"/>
      <c r="I102" s="73"/>
      <c r="J102" s="74"/>
      <c r="K102" s="73"/>
      <c r="L102" s="74"/>
      <c r="M102" s="73"/>
      <c r="N102" s="74"/>
      <c r="O102" s="73"/>
      <c r="P102" s="74"/>
      <c r="Q102" s="75">
        <f t="shared" si="4"/>
        <v>0</v>
      </c>
      <c r="R102" s="76">
        <f t="shared" si="4"/>
        <v>0</v>
      </c>
    </row>
    <row r="103" spans="1:18">
      <c r="A103" s="70" t="s">
        <v>211</v>
      </c>
      <c r="B103" s="131" t="s">
        <v>69</v>
      </c>
      <c r="C103" s="132"/>
      <c r="D103" s="133"/>
      <c r="E103" s="71"/>
      <c r="F103" s="72"/>
      <c r="G103" s="73"/>
      <c r="H103" s="72"/>
      <c r="I103" s="73"/>
      <c r="J103" s="74"/>
      <c r="K103" s="73"/>
      <c r="L103" s="74"/>
      <c r="M103" s="73"/>
      <c r="N103" s="74"/>
      <c r="O103" s="73"/>
      <c r="P103" s="74"/>
      <c r="Q103" s="75">
        <f t="shared" si="4"/>
        <v>0</v>
      </c>
      <c r="R103" s="76">
        <f t="shared" si="4"/>
        <v>0</v>
      </c>
    </row>
    <row r="104" spans="1:18">
      <c r="A104" s="70" t="s">
        <v>212</v>
      </c>
      <c r="B104" s="131" t="s">
        <v>70</v>
      </c>
      <c r="C104" s="132"/>
      <c r="D104" s="133"/>
      <c r="E104" s="71"/>
      <c r="F104" s="72"/>
      <c r="G104" s="73"/>
      <c r="H104" s="72"/>
      <c r="I104" s="73"/>
      <c r="J104" s="74"/>
      <c r="K104" s="73"/>
      <c r="L104" s="74"/>
      <c r="M104" s="73"/>
      <c r="N104" s="74"/>
      <c r="O104" s="73"/>
      <c r="P104" s="74"/>
      <c r="Q104" s="75">
        <f t="shared" si="4"/>
        <v>0</v>
      </c>
      <c r="R104" s="76">
        <f t="shared" si="4"/>
        <v>0</v>
      </c>
    </row>
    <row r="105" spans="1:18">
      <c r="A105" s="70" t="s">
        <v>213</v>
      </c>
      <c r="B105" s="131" t="s">
        <v>71</v>
      </c>
      <c r="C105" s="132"/>
      <c r="D105" s="133"/>
      <c r="E105" s="71"/>
      <c r="F105" s="72"/>
      <c r="G105" s="73"/>
      <c r="H105" s="72"/>
      <c r="I105" s="73"/>
      <c r="J105" s="74"/>
      <c r="K105" s="73"/>
      <c r="L105" s="74"/>
      <c r="M105" s="73"/>
      <c r="N105" s="74"/>
      <c r="O105" s="73"/>
      <c r="P105" s="74"/>
      <c r="Q105" s="75">
        <f t="shared" si="4"/>
        <v>0</v>
      </c>
      <c r="R105" s="76">
        <f t="shared" si="4"/>
        <v>0</v>
      </c>
    </row>
    <row r="106" spans="1:18">
      <c r="A106" s="70" t="s">
        <v>741</v>
      </c>
      <c r="B106" s="131" t="s">
        <v>72</v>
      </c>
      <c r="C106" s="132"/>
      <c r="D106" s="133"/>
      <c r="E106" s="71"/>
      <c r="F106" s="72"/>
      <c r="G106" s="73"/>
      <c r="H106" s="72"/>
      <c r="I106" s="73"/>
      <c r="J106" s="74"/>
      <c r="K106" s="73"/>
      <c r="L106" s="74"/>
      <c r="M106" s="73"/>
      <c r="N106" s="74"/>
      <c r="O106" s="73"/>
      <c r="P106" s="74"/>
      <c r="Q106" s="75">
        <f t="shared" si="4"/>
        <v>0</v>
      </c>
      <c r="R106" s="76">
        <f t="shared" si="4"/>
        <v>0</v>
      </c>
    </row>
    <row r="107" spans="1:18">
      <c r="A107" s="70" t="s">
        <v>214</v>
      </c>
      <c r="B107" s="131" t="s">
        <v>73</v>
      </c>
      <c r="C107" s="132"/>
      <c r="D107" s="133"/>
      <c r="E107" s="71"/>
      <c r="F107" s="72"/>
      <c r="G107" s="73"/>
      <c r="H107" s="72"/>
      <c r="I107" s="73"/>
      <c r="J107" s="74"/>
      <c r="K107" s="73"/>
      <c r="L107" s="74"/>
      <c r="M107" s="73"/>
      <c r="N107" s="74"/>
      <c r="O107" s="73"/>
      <c r="P107" s="74"/>
      <c r="Q107" s="75">
        <f t="shared" si="4"/>
        <v>0</v>
      </c>
      <c r="R107" s="76">
        <f t="shared" si="4"/>
        <v>0</v>
      </c>
    </row>
    <row r="108" spans="1:18">
      <c r="A108" s="70" t="s">
        <v>215</v>
      </c>
      <c r="B108" s="131" t="s">
        <v>74</v>
      </c>
      <c r="C108" s="132"/>
      <c r="D108" s="133"/>
      <c r="E108" s="71"/>
      <c r="F108" s="72"/>
      <c r="G108" s="73"/>
      <c r="H108" s="72"/>
      <c r="I108" s="73"/>
      <c r="J108" s="74"/>
      <c r="K108" s="73"/>
      <c r="L108" s="74"/>
      <c r="M108" s="73"/>
      <c r="N108" s="74"/>
      <c r="O108" s="73"/>
      <c r="P108" s="74"/>
      <c r="Q108" s="75">
        <f t="shared" si="4"/>
        <v>0</v>
      </c>
      <c r="R108" s="76">
        <f t="shared" si="4"/>
        <v>0</v>
      </c>
    </row>
    <row r="109" spans="1:18">
      <c r="A109" s="70" t="s">
        <v>764</v>
      </c>
      <c r="B109" s="131" t="s">
        <v>762</v>
      </c>
      <c r="C109" s="132"/>
      <c r="D109" s="133"/>
      <c r="E109" s="71"/>
      <c r="F109" s="72"/>
      <c r="G109" s="73"/>
      <c r="H109" s="72"/>
      <c r="I109" s="73"/>
      <c r="J109" s="74"/>
      <c r="K109" s="73"/>
      <c r="L109" s="74"/>
      <c r="M109" s="73"/>
      <c r="N109" s="74"/>
      <c r="O109" s="73"/>
      <c r="P109" s="74"/>
      <c r="Q109" s="75">
        <f t="shared" si="4"/>
        <v>0</v>
      </c>
      <c r="R109" s="76">
        <f t="shared" si="4"/>
        <v>0</v>
      </c>
    </row>
    <row r="110" spans="1:18">
      <c r="A110" s="70" t="s">
        <v>765</v>
      </c>
      <c r="B110" s="131" t="s">
        <v>763</v>
      </c>
      <c r="C110" s="132"/>
      <c r="D110" s="133"/>
      <c r="E110" s="71"/>
      <c r="F110" s="72"/>
      <c r="G110" s="73"/>
      <c r="H110" s="72"/>
      <c r="I110" s="73"/>
      <c r="J110" s="74"/>
      <c r="K110" s="73"/>
      <c r="L110" s="74"/>
      <c r="M110" s="73"/>
      <c r="N110" s="74"/>
      <c r="O110" s="73"/>
      <c r="P110" s="74"/>
      <c r="Q110" s="75">
        <f t="shared" si="4"/>
        <v>0</v>
      </c>
      <c r="R110" s="76">
        <f t="shared" si="4"/>
        <v>0</v>
      </c>
    </row>
    <row r="111" spans="1:18">
      <c r="A111" s="70" t="s">
        <v>742</v>
      </c>
      <c r="B111" s="141" t="s">
        <v>75</v>
      </c>
      <c r="C111" s="142"/>
      <c r="D111" s="143"/>
      <c r="E111" s="71"/>
      <c r="F111" s="72"/>
      <c r="G111" s="73"/>
      <c r="H111" s="72"/>
      <c r="I111" s="73"/>
      <c r="J111" s="74"/>
      <c r="K111" s="73"/>
      <c r="L111" s="74"/>
      <c r="M111" s="73"/>
      <c r="N111" s="74"/>
      <c r="O111" s="73"/>
      <c r="P111" s="74"/>
      <c r="Q111" s="75">
        <f t="shared" si="4"/>
        <v>0</v>
      </c>
      <c r="R111" s="76">
        <f t="shared" si="4"/>
        <v>0</v>
      </c>
    </row>
    <row r="112" spans="1:18">
      <c r="A112" s="70" t="s">
        <v>744</v>
      </c>
      <c r="B112" s="131" t="s">
        <v>743</v>
      </c>
      <c r="C112" s="132"/>
      <c r="D112" s="133"/>
      <c r="E112" s="71"/>
      <c r="F112" s="72"/>
      <c r="G112" s="73"/>
      <c r="H112" s="72"/>
      <c r="I112" s="73"/>
      <c r="J112" s="74"/>
      <c r="K112" s="73"/>
      <c r="L112" s="74"/>
      <c r="M112" s="73"/>
      <c r="N112" s="74"/>
      <c r="O112" s="73"/>
      <c r="P112" s="74"/>
      <c r="Q112" s="75">
        <f t="shared" si="4"/>
        <v>0</v>
      </c>
      <c r="R112" s="76">
        <f t="shared" si="4"/>
        <v>0</v>
      </c>
    </row>
    <row r="113" spans="1:18">
      <c r="A113" s="70" t="s">
        <v>739</v>
      </c>
      <c r="B113" s="141" t="s">
        <v>737</v>
      </c>
      <c r="C113" s="142"/>
      <c r="D113" s="143"/>
      <c r="E113" s="71"/>
      <c r="F113" s="72"/>
      <c r="G113" s="73"/>
      <c r="H113" s="72"/>
      <c r="I113" s="73"/>
      <c r="J113" s="74"/>
      <c r="K113" s="73"/>
      <c r="L113" s="74"/>
      <c r="M113" s="73"/>
      <c r="N113" s="74"/>
      <c r="O113" s="73"/>
      <c r="P113" s="74"/>
      <c r="Q113" s="75">
        <f t="shared" si="4"/>
        <v>0</v>
      </c>
      <c r="R113" s="76">
        <f t="shared" si="4"/>
        <v>0</v>
      </c>
    </row>
    <row r="114" spans="1:18">
      <c r="A114" s="70" t="s">
        <v>740</v>
      </c>
      <c r="B114" s="141" t="s">
        <v>738</v>
      </c>
      <c r="C114" s="142"/>
      <c r="D114" s="143"/>
      <c r="E114" s="71"/>
      <c r="F114" s="72"/>
      <c r="G114" s="73"/>
      <c r="H114" s="72"/>
      <c r="I114" s="73"/>
      <c r="J114" s="74"/>
      <c r="K114" s="73"/>
      <c r="L114" s="74"/>
      <c r="M114" s="73"/>
      <c r="N114" s="74"/>
      <c r="O114" s="73"/>
      <c r="P114" s="74"/>
      <c r="Q114" s="75">
        <f t="shared" si="4"/>
        <v>0</v>
      </c>
      <c r="R114" s="76">
        <f t="shared" si="4"/>
        <v>0</v>
      </c>
    </row>
    <row r="115" spans="1:18">
      <c r="A115" s="70" t="s">
        <v>756</v>
      </c>
      <c r="B115" s="141" t="s">
        <v>1124</v>
      </c>
      <c r="C115" s="142"/>
      <c r="D115" s="143"/>
      <c r="E115" s="71"/>
      <c r="F115" s="72"/>
      <c r="G115" s="73"/>
      <c r="H115" s="72"/>
      <c r="I115" s="73"/>
      <c r="J115" s="74"/>
      <c r="K115" s="73"/>
      <c r="L115" s="74"/>
      <c r="M115" s="73"/>
      <c r="N115" s="74"/>
      <c r="O115" s="73"/>
      <c r="P115" s="74"/>
      <c r="Q115" s="75">
        <f t="shared" si="4"/>
        <v>0</v>
      </c>
      <c r="R115" s="76">
        <f t="shared" si="4"/>
        <v>0</v>
      </c>
    </row>
    <row r="116" spans="1:18">
      <c r="A116" s="70" t="s">
        <v>759</v>
      </c>
      <c r="B116" s="141" t="s">
        <v>755</v>
      </c>
      <c r="C116" s="142"/>
      <c r="D116" s="143"/>
      <c r="E116" s="71"/>
      <c r="F116" s="72"/>
      <c r="G116" s="73"/>
      <c r="H116" s="72"/>
      <c r="I116" s="73"/>
      <c r="J116" s="74"/>
      <c r="K116" s="73"/>
      <c r="L116" s="74"/>
      <c r="M116" s="73"/>
      <c r="N116" s="74"/>
      <c r="O116" s="73"/>
      <c r="P116" s="74"/>
      <c r="Q116" s="75">
        <f t="shared" si="4"/>
        <v>0</v>
      </c>
      <c r="R116" s="76">
        <f t="shared" si="4"/>
        <v>0</v>
      </c>
    </row>
    <row r="117" spans="1:18">
      <c r="A117" s="70" t="s">
        <v>757</v>
      </c>
      <c r="B117" s="141" t="s">
        <v>753</v>
      </c>
      <c r="C117" s="142"/>
      <c r="D117" s="143"/>
      <c r="E117" s="71"/>
      <c r="F117" s="72"/>
      <c r="G117" s="73"/>
      <c r="H117" s="72"/>
      <c r="I117" s="73"/>
      <c r="J117" s="74"/>
      <c r="K117" s="73"/>
      <c r="L117" s="74"/>
      <c r="M117" s="73"/>
      <c r="N117" s="74"/>
      <c r="O117" s="73"/>
      <c r="P117" s="74"/>
      <c r="Q117" s="75">
        <f t="shared" si="4"/>
        <v>0</v>
      </c>
      <c r="R117" s="76">
        <f t="shared" si="4"/>
        <v>0</v>
      </c>
    </row>
    <row r="118" spans="1:18">
      <c r="A118" s="70" t="s">
        <v>758</v>
      </c>
      <c r="B118" s="141" t="s">
        <v>754</v>
      </c>
      <c r="C118" s="142"/>
      <c r="D118" s="143"/>
      <c r="E118" s="71"/>
      <c r="F118" s="72"/>
      <c r="G118" s="73"/>
      <c r="H118" s="72"/>
      <c r="I118" s="73"/>
      <c r="J118" s="74"/>
      <c r="K118" s="73"/>
      <c r="L118" s="74"/>
      <c r="M118" s="73"/>
      <c r="N118" s="74"/>
      <c r="O118" s="73"/>
      <c r="P118" s="74"/>
      <c r="Q118" s="75">
        <f t="shared" si="4"/>
        <v>0</v>
      </c>
      <c r="R118" s="76">
        <f t="shared" si="4"/>
        <v>0</v>
      </c>
    </row>
    <row r="119" spans="1:18">
      <c r="A119" s="70" t="s">
        <v>761</v>
      </c>
      <c r="B119" s="141" t="s">
        <v>760</v>
      </c>
      <c r="C119" s="142"/>
      <c r="D119" s="143"/>
      <c r="E119" s="71"/>
      <c r="F119" s="72"/>
      <c r="G119" s="73"/>
      <c r="H119" s="72"/>
      <c r="I119" s="73"/>
      <c r="J119" s="74"/>
      <c r="K119" s="73"/>
      <c r="L119" s="74"/>
      <c r="M119" s="73"/>
      <c r="N119" s="74"/>
      <c r="O119" s="73"/>
      <c r="P119" s="74"/>
      <c r="Q119" s="75">
        <f t="shared" si="4"/>
        <v>0</v>
      </c>
      <c r="R119" s="76">
        <f t="shared" si="4"/>
        <v>0</v>
      </c>
    </row>
    <row r="120" spans="1:18">
      <c r="A120" s="70" t="s">
        <v>137</v>
      </c>
      <c r="B120" s="131" t="s">
        <v>76</v>
      </c>
      <c r="C120" s="132"/>
      <c r="D120" s="133"/>
      <c r="E120" s="71"/>
      <c r="F120" s="72"/>
      <c r="G120" s="73"/>
      <c r="H120" s="72"/>
      <c r="I120" s="73"/>
      <c r="J120" s="74"/>
      <c r="K120" s="73"/>
      <c r="L120" s="74"/>
      <c r="M120" s="73"/>
      <c r="N120" s="74"/>
      <c r="O120" s="73"/>
      <c r="P120" s="74"/>
      <c r="Q120" s="75">
        <f t="shared" si="4"/>
        <v>0</v>
      </c>
      <c r="R120" s="76">
        <f t="shared" si="4"/>
        <v>0</v>
      </c>
    </row>
    <row r="121" spans="1:18">
      <c r="A121" s="70" t="s">
        <v>137</v>
      </c>
      <c r="B121" s="131" t="s">
        <v>77</v>
      </c>
      <c r="C121" s="132"/>
      <c r="D121" s="133"/>
      <c r="E121" s="71"/>
      <c r="F121" s="72"/>
      <c r="G121" s="73"/>
      <c r="H121" s="72"/>
      <c r="I121" s="73"/>
      <c r="J121" s="74"/>
      <c r="K121" s="73"/>
      <c r="L121" s="74"/>
      <c r="M121" s="73"/>
      <c r="N121" s="74"/>
      <c r="O121" s="73"/>
      <c r="P121" s="74"/>
      <c r="Q121" s="75">
        <f t="shared" si="4"/>
        <v>0</v>
      </c>
      <c r="R121" s="76">
        <f t="shared" si="4"/>
        <v>0</v>
      </c>
    </row>
    <row r="122" spans="1:18">
      <c r="A122" s="70" t="s">
        <v>137</v>
      </c>
      <c r="B122" s="131" t="s">
        <v>78</v>
      </c>
      <c r="C122" s="132"/>
      <c r="D122" s="133"/>
      <c r="E122" s="71"/>
      <c r="F122" s="72"/>
      <c r="G122" s="73"/>
      <c r="H122" s="72"/>
      <c r="I122" s="73"/>
      <c r="J122" s="74"/>
      <c r="K122" s="73"/>
      <c r="L122" s="74"/>
      <c r="M122" s="73"/>
      <c r="N122" s="74"/>
      <c r="O122" s="73"/>
      <c r="P122" s="74"/>
      <c r="Q122" s="75">
        <f t="shared" si="4"/>
        <v>0</v>
      </c>
      <c r="R122" s="76">
        <f t="shared" si="4"/>
        <v>0</v>
      </c>
    </row>
    <row r="123" spans="1:18">
      <c r="A123" s="70" t="s">
        <v>137</v>
      </c>
      <c r="B123" s="131" t="s">
        <v>79</v>
      </c>
      <c r="C123" s="132"/>
      <c r="D123" s="133"/>
      <c r="E123" s="71"/>
      <c r="F123" s="72"/>
      <c r="G123" s="73"/>
      <c r="H123" s="72"/>
      <c r="I123" s="73"/>
      <c r="J123" s="74"/>
      <c r="K123" s="73"/>
      <c r="L123" s="74"/>
      <c r="M123" s="73"/>
      <c r="N123" s="74"/>
      <c r="O123" s="73"/>
      <c r="P123" s="74"/>
      <c r="Q123" s="75">
        <f t="shared" si="4"/>
        <v>0</v>
      </c>
      <c r="R123" s="76">
        <f t="shared" si="4"/>
        <v>0</v>
      </c>
    </row>
    <row r="124" spans="1:18">
      <c r="A124" s="70" t="s">
        <v>137</v>
      </c>
      <c r="B124" s="131" t="s">
        <v>80</v>
      </c>
      <c r="C124" s="132"/>
      <c r="D124" s="133"/>
      <c r="E124" s="71"/>
      <c r="F124" s="72"/>
      <c r="G124" s="73"/>
      <c r="H124" s="72"/>
      <c r="I124" s="73"/>
      <c r="J124" s="74"/>
      <c r="K124" s="73"/>
      <c r="L124" s="74"/>
      <c r="M124" s="73"/>
      <c r="N124" s="74"/>
      <c r="O124" s="73"/>
      <c r="P124" s="74"/>
      <c r="Q124" s="75">
        <f t="shared" si="4"/>
        <v>0</v>
      </c>
      <c r="R124" s="76">
        <f t="shared" si="4"/>
        <v>0</v>
      </c>
    </row>
    <row r="125" spans="1:18">
      <c r="A125" s="70" t="s">
        <v>137</v>
      </c>
      <c r="B125" s="131" t="s">
        <v>81</v>
      </c>
      <c r="C125" s="132"/>
      <c r="D125" s="133"/>
      <c r="E125" s="71"/>
      <c r="F125" s="72"/>
      <c r="G125" s="73"/>
      <c r="H125" s="72"/>
      <c r="I125" s="73"/>
      <c r="J125" s="74"/>
      <c r="K125" s="73"/>
      <c r="L125" s="74"/>
      <c r="M125" s="73"/>
      <c r="N125" s="74"/>
      <c r="O125" s="73"/>
      <c r="P125" s="74"/>
      <c r="Q125" s="75">
        <f t="shared" si="4"/>
        <v>0</v>
      </c>
      <c r="R125" s="76">
        <f t="shared" si="4"/>
        <v>0</v>
      </c>
    </row>
    <row r="126" spans="1:18">
      <c r="A126" s="70" t="s">
        <v>216</v>
      </c>
      <c r="B126" s="131" t="s">
        <v>82</v>
      </c>
      <c r="C126" s="132"/>
      <c r="D126" s="133"/>
      <c r="E126" s="71"/>
      <c r="F126" s="72"/>
      <c r="G126" s="73"/>
      <c r="H126" s="72"/>
      <c r="I126" s="73"/>
      <c r="J126" s="74"/>
      <c r="K126" s="73"/>
      <c r="L126" s="74"/>
      <c r="M126" s="73"/>
      <c r="N126" s="74"/>
      <c r="O126" s="73"/>
      <c r="P126" s="74"/>
      <c r="Q126" s="75">
        <f t="shared" si="4"/>
        <v>0</v>
      </c>
      <c r="R126" s="76">
        <f t="shared" si="4"/>
        <v>0</v>
      </c>
    </row>
    <row r="127" spans="1:18">
      <c r="A127" s="70" t="s">
        <v>217</v>
      </c>
      <c r="B127" s="131" t="s">
        <v>83</v>
      </c>
      <c r="C127" s="132"/>
      <c r="D127" s="133"/>
      <c r="E127" s="71"/>
      <c r="F127" s="72"/>
      <c r="G127" s="73"/>
      <c r="H127" s="72"/>
      <c r="I127" s="73"/>
      <c r="J127" s="74"/>
      <c r="K127" s="73"/>
      <c r="L127" s="74"/>
      <c r="M127" s="73"/>
      <c r="N127" s="74"/>
      <c r="O127" s="73"/>
      <c r="P127" s="74"/>
      <c r="Q127" s="75">
        <f t="shared" ref="Q127:R134" si="5">E127+G127+I127+K127+M127+O127</f>
        <v>0</v>
      </c>
      <c r="R127" s="76">
        <f t="shared" si="5"/>
        <v>0</v>
      </c>
    </row>
    <row r="128" spans="1:18">
      <c r="A128" s="70" t="s">
        <v>137</v>
      </c>
      <c r="B128" s="131" t="s">
        <v>84</v>
      </c>
      <c r="C128" s="132"/>
      <c r="D128" s="133"/>
      <c r="E128" s="71"/>
      <c r="F128" s="72"/>
      <c r="G128" s="73"/>
      <c r="H128" s="72"/>
      <c r="I128" s="73"/>
      <c r="J128" s="74"/>
      <c r="K128" s="73"/>
      <c r="L128" s="74"/>
      <c r="M128" s="73"/>
      <c r="N128" s="74"/>
      <c r="O128" s="73"/>
      <c r="P128" s="74"/>
      <c r="Q128" s="75">
        <f t="shared" si="5"/>
        <v>0</v>
      </c>
      <c r="R128" s="76">
        <f t="shared" si="5"/>
        <v>0</v>
      </c>
    </row>
    <row r="129" spans="1:18">
      <c r="A129" s="70" t="s">
        <v>137</v>
      </c>
      <c r="B129" s="131" t="s">
        <v>85</v>
      </c>
      <c r="C129" s="132"/>
      <c r="D129" s="133"/>
      <c r="E129" s="71"/>
      <c r="F129" s="72"/>
      <c r="G129" s="73"/>
      <c r="H129" s="72"/>
      <c r="I129" s="73"/>
      <c r="J129" s="74"/>
      <c r="K129" s="73"/>
      <c r="L129" s="74"/>
      <c r="M129" s="73"/>
      <c r="N129" s="74"/>
      <c r="O129" s="73"/>
      <c r="P129" s="74"/>
      <c r="Q129" s="75">
        <f t="shared" si="5"/>
        <v>0</v>
      </c>
      <c r="R129" s="76">
        <f t="shared" si="5"/>
        <v>0</v>
      </c>
    </row>
    <row r="130" spans="1:18">
      <c r="A130" s="70" t="s">
        <v>137</v>
      </c>
      <c r="B130" s="131" t="s">
        <v>86</v>
      </c>
      <c r="C130" s="132"/>
      <c r="D130" s="133"/>
      <c r="E130" s="71"/>
      <c r="F130" s="72"/>
      <c r="G130" s="73"/>
      <c r="H130" s="72"/>
      <c r="I130" s="73"/>
      <c r="J130" s="74"/>
      <c r="K130" s="73"/>
      <c r="L130" s="74"/>
      <c r="M130" s="73"/>
      <c r="N130" s="74"/>
      <c r="O130" s="73"/>
      <c r="P130" s="74"/>
      <c r="Q130" s="75">
        <f t="shared" si="5"/>
        <v>0</v>
      </c>
      <c r="R130" s="76">
        <f t="shared" si="5"/>
        <v>0</v>
      </c>
    </row>
    <row r="131" spans="1:18" s="85" customFormat="1">
      <c r="A131" s="103" t="s">
        <v>749</v>
      </c>
      <c r="B131" s="140" t="s">
        <v>1125</v>
      </c>
      <c r="C131" s="138"/>
      <c r="D131" s="139"/>
      <c r="E131" s="79"/>
      <c r="F131" s="80"/>
      <c r="G131" s="81"/>
      <c r="H131" s="80"/>
      <c r="I131" s="81"/>
      <c r="J131" s="82"/>
      <c r="K131" s="81"/>
      <c r="L131" s="82"/>
      <c r="M131" s="81"/>
      <c r="N131" s="82"/>
      <c r="O131" s="81"/>
      <c r="P131" s="82"/>
      <c r="Q131" s="83">
        <f t="shared" si="5"/>
        <v>0</v>
      </c>
      <c r="R131" s="84">
        <f t="shared" si="5"/>
        <v>0</v>
      </c>
    </row>
    <row r="132" spans="1:18" s="85" customFormat="1">
      <c r="A132" s="103" t="s">
        <v>137</v>
      </c>
      <c r="B132" s="140" t="s">
        <v>1126</v>
      </c>
      <c r="C132" s="138"/>
      <c r="D132" s="139"/>
      <c r="E132" s="79"/>
      <c r="F132" s="80"/>
      <c r="G132" s="81"/>
      <c r="H132" s="80"/>
      <c r="I132" s="81"/>
      <c r="J132" s="82"/>
      <c r="K132" s="81"/>
      <c r="L132" s="82"/>
      <c r="M132" s="81"/>
      <c r="N132" s="82"/>
      <c r="O132" s="81"/>
      <c r="P132" s="82"/>
      <c r="Q132" s="83">
        <f t="shared" si="5"/>
        <v>0</v>
      </c>
      <c r="R132" s="84">
        <f t="shared" si="5"/>
        <v>0</v>
      </c>
    </row>
    <row r="133" spans="1:18">
      <c r="A133" s="70" t="s">
        <v>137</v>
      </c>
      <c r="B133" s="131" t="s">
        <v>88</v>
      </c>
      <c r="C133" s="132"/>
      <c r="D133" s="133"/>
      <c r="E133" s="71"/>
      <c r="F133" s="72"/>
      <c r="G133" s="73"/>
      <c r="H133" s="72"/>
      <c r="I133" s="73"/>
      <c r="J133" s="74"/>
      <c r="K133" s="73"/>
      <c r="L133" s="74"/>
      <c r="M133" s="73"/>
      <c r="N133" s="74"/>
      <c r="O133" s="73"/>
      <c r="P133" s="74"/>
      <c r="Q133" s="75">
        <f t="shared" si="5"/>
        <v>0</v>
      </c>
      <c r="R133" s="76">
        <f t="shared" si="5"/>
        <v>0</v>
      </c>
    </row>
    <row r="134" spans="1:18">
      <c r="A134" s="70" t="s">
        <v>746</v>
      </c>
      <c r="B134" s="131" t="s">
        <v>745</v>
      </c>
      <c r="C134" s="132"/>
      <c r="D134" s="133"/>
      <c r="E134" s="71"/>
      <c r="F134" s="72"/>
      <c r="G134" s="73"/>
      <c r="H134" s="72"/>
      <c r="I134" s="73"/>
      <c r="J134" s="74"/>
      <c r="K134" s="73"/>
      <c r="L134" s="74"/>
      <c r="M134" s="73"/>
      <c r="N134" s="74"/>
      <c r="O134" s="73"/>
      <c r="P134" s="74"/>
      <c r="Q134" s="75">
        <f t="shared" si="5"/>
        <v>0</v>
      </c>
      <c r="R134" s="76">
        <f t="shared" si="5"/>
        <v>0</v>
      </c>
    </row>
    <row r="135" spans="1:18" ht="27" thickBot="1">
      <c r="C135" s="56" t="s">
        <v>0</v>
      </c>
      <c r="D135" s="57"/>
      <c r="E135" s="57"/>
      <c r="F135" s="57"/>
      <c r="G135" s="57"/>
      <c r="H135" s="57"/>
      <c r="I135" s="57"/>
      <c r="J135" s="57"/>
      <c r="K135" s="57"/>
      <c r="L135" s="153" t="str">
        <f>M1</f>
        <v>2026年</v>
      </c>
      <c r="M135" s="153"/>
      <c r="N135" s="58" t="s">
        <v>1118</v>
      </c>
      <c r="O135" s="57" t="s">
        <v>1119</v>
      </c>
      <c r="P135" s="58"/>
      <c r="Q135" s="57"/>
    </row>
    <row r="136" spans="1:18" ht="19.2" thickTop="1" thickBot="1">
      <c r="A136" s="154" t="s">
        <v>135</v>
      </c>
      <c r="B136" s="156" t="s">
        <v>1</v>
      </c>
      <c r="C136" s="157"/>
      <c r="D136" s="158"/>
      <c r="E136" s="162" t="s">
        <v>2</v>
      </c>
      <c r="F136" s="147"/>
      <c r="G136" s="163" t="s">
        <v>3</v>
      </c>
      <c r="H136" s="147"/>
      <c r="I136" s="164" t="s">
        <v>4</v>
      </c>
      <c r="J136" s="164"/>
      <c r="K136" s="164" t="s">
        <v>5</v>
      </c>
      <c r="L136" s="164"/>
      <c r="M136" s="147" t="str">
        <f>$M$2</f>
        <v>川崎</v>
      </c>
      <c r="N136" s="148"/>
      <c r="O136" s="147" t="str">
        <f>$O$2</f>
        <v>野村</v>
      </c>
      <c r="P136" s="148"/>
      <c r="Q136" s="147" t="s">
        <v>6</v>
      </c>
      <c r="R136" s="149"/>
    </row>
    <row r="137" spans="1:18" ht="19.2" thickTop="1" thickBot="1">
      <c r="A137" s="155"/>
      <c r="B137" s="159"/>
      <c r="C137" s="160"/>
      <c r="D137" s="161"/>
      <c r="E137" s="59" t="s">
        <v>7</v>
      </c>
      <c r="F137" s="60" t="s">
        <v>8</v>
      </c>
      <c r="G137" s="61" t="s">
        <v>7</v>
      </c>
      <c r="H137" s="60" t="s">
        <v>8</v>
      </c>
      <c r="I137" s="61" t="s">
        <v>7</v>
      </c>
      <c r="J137" s="62" t="s">
        <v>8</v>
      </c>
      <c r="K137" s="61" t="s">
        <v>7</v>
      </c>
      <c r="L137" s="62" t="s">
        <v>8</v>
      </c>
      <c r="M137" s="61" t="s">
        <v>7</v>
      </c>
      <c r="N137" s="62" t="s">
        <v>8</v>
      </c>
      <c r="O137" s="61" t="s">
        <v>7</v>
      </c>
      <c r="P137" s="62" t="s">
        <v>8</v>
      </c>
      <c r="Q137" s="61" t="s">
        <v>7</v>
      </c>
      <c r="R137" s="63" t="s">
        <v>8</v>
      </c>
    </row>
    <row r="138" spans="1:18" ht="18.600000000000001" thickTop="1">
      <c r="A138" s="64"/>
      <c r="B138" s="150" t="s">
        <v>89</v>
      </c>
      <c r="C138" s="151"/>
      <c r="D138" s="152"/>
      <c r="E138" s="65"/>
      <c r="G138" s="66"/>
      <c r="I138" s="66"/>
      <c r="J138" s="67"/>
      <c r="K138" s="66"/>
      <c r="L138" s="67"/>
      <c r="M138" s="66"/>
      <c r="N138" s="67"/>
      <c r="O138" s="66"/>
      <c r="P138" s="67"/>
      <c r="Q138" s="68">
        <f>E138+G138+I138+K138+M138+O138</f>
        <v>0</v>
      </c>
      <c r="R138" s="69">
        <f>F138+H138+J138+L138+N138+P138</f>
        <v>0</v>
      </c>
    </row>
    <row r="139" spans="1:18">
      <c r="A139" s="70" t="s">
        <v>218</v>
      </c>
      <c r="B139" s="131" t="s">
        <v>90</v>
      </c>
      <c r="C139" s="132"/>
      <c r="D139" s="133"/>
      <c r="E139" s="71"/>
      <c r="F139" s="72"/>
      <c r="G139" s="73"/>
      <c r="H139" s="72"/>
      <c r="I139" s="73"/>
      <c r="J139" s="74"/>
      <c r="K139" s="73"/>
      <c r="L139" s="74"/>
      <c r="M139" s="73"/>
      <c r="N139" s="74"/>
      <c r="O139" s="73"/>
      <c r="P139" s="74"/>
      <c r="Q139" s="75">
        <f>E139+G139+I139+K139+M139+O139</f>
        <v>0</v>
      </c>
      <c r="R139" s="76">
        <f>F139+H139+J139+L139+N139+P139</f>
        <v>0</v>
      </c>
    </row>
    <row r="140" spans="1:18">
      <c r="A140" s="70" t="s">
        <v>750</v>
      </c>
      <c r="B140" s="131" t="s">
        <v>91</v>
      </c>
      <c r="C140" s="132"/>
      <c r="D140" s="133"/>
      <c r="E140" s="71"/>
      <c r="F140" s="72"/>
      <c r="G140" s="73"/>
      <c r="H140" s="72"/>
      <c r="I140" s="73"/>
      <c r="J140" s="74"/>
      <c r="K140" s="73"/>
      <c r="L140" s="74"/>
      <c r="M140" s="73"/>
      <c r="N140" s="74"/>
      <c r="O140" s="73"/>
      <c r="P140" s="74"/>
      <c r="Q140" s="75">
        <f t="shared" ref="Q140:R155" si="6">E140+G140+I140+K140+M140+O140</f>
        <v>0</v>
      </c>
      <c r="R140" s="76">
        <f t="shared" si="6"/>
        <v>0</v>
      </c>
    </row>
    <row r="141" spans="1:18">
      <c r="A141" s="70" t="s">
        <v>727</v>
      </c>
      <c r="B141" s="131" t="s">
        <v>92</v>
      </c>
      <c r="C141" s="132"/>
      <c r="D141" s="133"/>
      <c r="E141" s="71"/>
      <c r="F141" s="72"/>
      <c r="G141" s="73"/>
      <c r="H141" s="72"/>
      <c r="I141" s="73"/>
      <c r="J141" s="74"/>
      <c r="K141" s="73"/>
      <c r="L141" s="74"/>
      <c r="M141" s="73"/>
      <c r="N141" s="74"/>
      <c r="O141" s="73"/>
      <c r="P141" s="74"/>
      <c r="Q141" s="75">
        <f t="shared" si="6"/>
        <v>0</v>
      </c>
      <c r="R141" s="76">
        <f t="shared" si="6"/>
        <v>0</v>
      </c>
    </row>
    <row r="142" spans="1:18">
      <c r="A142" s="70" t="s">
        <v>219</v>
      </c>
      <c r="B142" s="131" t="s">
        <v>93</v>
      </c>
      <c r="C142" s="132"/>
      <c r="D142" s="133"/>
      <c r="E142" s="71"/>
      <c r="F142" s="72"/>
      <c r="G142" s="73">
        <v>18</v>
      </c>
      <c r="H142" s="72"/>
      <c r="I142" s="73"/>
      <c r="J142" s="74"/>
      <c r="K142" s="73"/>
      <c r="L142" s="74"/>
      <c r="M142" s="73"/>
      <c r="N142" s="74"/>
      <c r="O142" s="73"/>
      <c r="P142" s="74"/>
      <c r="Q142" s="75">
        <f t="shared" si="6"/>
        <v>18</v>
      </c>
      <c r="R142" s="76">
        <f t="shared" si="6"/>
        <v>0</v>
      </c>
    </row>
    <row r="143" spans="1:18">
      <c r="A143" s="70" t="s">
        <v>220</v>
      </c>
      <c r="B143" s="131" t="s">
        <v>94</v>
      </c>
      <c r="C143" s="132"/>
      <c r="D143" s="133"/>
      <c r="E143" s="71"/>
      <c r="F143" s="72"/>
      <c r="G143" s="73"/>
      <c r="H143" s="72"/>
      <c r="I143" s="73"/>
      <c r="J143" s="74"/>
      <c r="K143" s="73"/>
      <c r="L143" s="74"/>
      <c r="M143" s="73"/>
      <c r="N143" s="74"/>
      <c r="O143" s="73"/>
      <c r="P143" s="74"/>
      <c r="Q143" s="75">
        <f t="shared" si="6"/>
        <v>0</v>
      </c>
      <c r="R143" s="76">
        <f t="shared" si="6"/>
        <v>0</v>
      </c>
    </row>
    <row r="144" spans="1:18" s="85" customFormat="1">
      <c r="A144" s="78" t="s">
        <v>220</v>
      </c>
      <c r="B144" s="140" t="s">
        <v>1127</v>
      </c>
      <c r="C144" s="138"/>
      <c r="D144" s="139"/>
      <c r="E144" s="79"/>
      <c r="F144" s="80"/>
      <c r="G144" s="81"/>
      <c r="H144" s="80"/>
      <c r="I144" s="81"/>
      <c r="J144" s="82"/>
      <c r="K144" s="81"/>
      <c r="L144" s="82"/>
      <c r="M144" s="81"/>
      <c r="N144" s="82"/>
      <c r="O144" s="81"/>
      <c r="P144" s="82"/>
      <c r="Q144" s="83">
        <f t="shared" si="6"/>
        <v>0</v>
      </c>
      <c r="R144" s="84">
        <f t="shared" si="6"/>
        <v>0</v>
      </c>
    </row>
    <row r="145" spans="1:18">
      <c r="A145" s="70" t="s">
        <v>221</v>
      </c>
      <c r="B145" s="131" t="s">
        <v>95</v>
      </c>
      <c r="C145" s="132"/>
      <c r="D145" s="133"/>
      <c r="E145" s="71"/>
      <c r="F145" s="72"/>
      <c r="G145" s="73"/>
      <c r="H145" s="72"/>
      <c r="I145" s="73"/>
      <c r="J145" s="74"/>
      <c r="K145" s="73"/>
      <c r="L145" s="74"/>
      <c r="M145" s="73"/>
      <c r="N145" s="74"/>
      <c r="O145" s="73"/>
      <c r="P145" s="74"/>
      <c r="Q145" s="75">
        <f t="shared" si="6"/>
        <v>0</v>
      </c>
      <c r="R145" s="76">
        <f t="shared" si="6"/>
        <v>0</v>
      </c>
    </row>
    <row r="146" spans="1:18">
      <c r="A146" s="70" t="s">
        <v>222</v>
      </c>
      <c r="B146" s="131" t="s">
        <v>96</v>
      </c>
      <c r="C146" s="132"/>
      <c r="D146" s="133"/>
      <c r="E146" s="71"/>
      <c r="F146" s="72"/>
      <c r="G146" s="73"/>
      <c r="H146" s="72"/>
      <c r="I146" s="73"/>
      <c r="J146" s="74"/>
      <c r="K146" s="73"/>
      <c r="L146" s="74"/>
      <c r="M146" s="73"/>
      <c r="N146" s="74"/>
      <c r="O146" s="73"/>
      <c r="P146" s="74"/>
      <c r="Q146" s="75">
        <f t="shared" si="6"/>
        <v>0</v>
      </c>
      <c r="R146" s="76">
        <f t="shared" si="6"/>
        <v>0</v>
      </c>
    </row>
    <row r="147" spans="1:18">
      <c r="A147" s="70" t="s">
        <v>223</v>
      </c>
      <c r="B147" s="131" t="s">
        <v>97</v>
      </c>
      <c r="C147" s="132"/>
      <c r="D147" s="133"/>
      <c r="E147" s="71"/>
      <c r="F147" s="72"/>
      <c r="G147" s="73"/>
      <c r="H147" s="72"/>
      <c r="I147" s="73"/>
      <c r="J147" s="74"/>
      <c r="K147" s="73"/>
      <c r="L147" s="74"/>
      <c r="M147" s="73"/>
      <c r="N147" s="74"/>
      <c r="O147" s="73"/>
      <c r="P147" s="74"/>
      <c r="Q147" s="75">
        <f t="shared" si="6"/>
        <v>0</v>
      </c>
      <c r="R147" s="76">
        <f t="shared" si="6"/>
        <v>0</v>
      </c>
    </row>
    <row r="148" spans="1:18" s="85" customFormat="1">
      <c r="A148" s="78" t="s">
        <v>223</v>
      </c>
      <c r="B148" s="140" t="s">
        <v>1128</v>
      </c>
      <c r="C148" s="138"/>
      <c r="D148" s="139"/>
      <c r="E148" s="79"/>
      <c r="F148" s="80"/>
      <c r="G148" s="81"/>
      <c r="H148" s="80"/>
      <c r="I148" s="81"/>
      <c r="J148" s="82"/>
      <c r="K148" s="81"/>
      <c r="L148" s="82"/>
      <c r="M148" s="81"/>
      <c r="N148" s="82"/>
      <c r="O148" s="81"/>
      <c r="P148" s="82"/>
      <c r="Q148" s="83">
        <f t="shared" si="6"/>
        <v>0</v>
      </c>
      <c r="R148" s="84">
        <f t="shared" si="6"/>
        <v>0</v>
      </c>
    </row>
    <row r="149" spans="1:18">
      <c r="A149" s="70" t="s">
        <v>224</v>
      </c>
      <c r="B149" s="131" t="s">
        <v>98</v>
      </c>
      <c r="C149" s="132"/>
      <c r="D149" s="133"/>
      <c r="E149" s="71"/>
      <c r="F149" s="72"/>
      <c r="G149" s="73"/>
      <c r="H149" s="72"/>
      <c r="I149" s="73"/>
      <c r="J149" s="74"/>
      <c r="K149" s="73"/>
      <c r="L149" s="74"/>
      <c r="M149" s="73"/>
      <c r="N149" s="74"/>
      <c r="O149" s="73"/>
      <c r="P149" s="74"/>
      <c r="Q149" s="75">
        <f t="shared" si="6"/>
        <v>0</v>
      </c>
      <c r="R149" s="76">
        <f t="shared" si="6"/>
        <v>0</v>
      </c>
    </row>
    <row r="150" spans="1:18" s="85" customFormat="1">
      <c r="A150" s="78" t="s">
        <v>224</v>
      </c>
      <c r="B150" s="140" t="s">
        <v>1129</v>
      </c>
      <c r="C150" s="138"/>
      <c r="D150" s="139"/>
      <c r="E150" s="79"/>
      <c r="F150" s="80"/>
      <c r="G150" s="81"/>
      <c r="H150" s="80"/>
      <c r="I150" s="81"/>
      <c r="J150" s="82"/>
      <c r="K150" s="81"/>
      <c r="L150" s="82"/>
      <c r="M150" s="81"/>
      <c r="N150" s="82"/>
      <c r="O150" s="81"/>
      <c r="P150" s="82"/>
      <c r="Q150" s="83">
        <f t="shared" si="6"/>
        <v>0</v>
      </c>
      <c r="R150" s="84">
        <f t="shared" si="6"/>
        <v>0</v>
      </c>
    </row>
    <row r="151" spans="1:18">
      <c r="A151" s="70" t="s">
        <v>225</v>
      </c>
      <c r="B151" s="131" t="s">
        <v>99</v>
      </c>
      <c r="C151" s="132"/>
      <c r="D151" s="133"/>
      <c r="E151" s="71"/>
      <c r="F151" s="72"/>
      <c r="G151" s="73"/>
      <c r="H151" s="72"/>
      <c r="I151" s="73"/>
      <c r="J151" s="74"/>
      <c r="K151" s="73"/>
      <c r="L151" s="74"/>
      <c r="M151" s="73"/>
      <c r="N151" s="74"/>
      <c r="O151" s="73"/>
      <c r="P151" s="74"/>
      <c r="Q151" s="75">
        <f t="shared" si="6"/>
        <v>0</v>
      </c>
      <c r="R151" s="76">
        <f t="shared" si="6"/>
        <v>0</v>
      </c>
    </row>
    <row r="152" spans="1:18">
      <c r="A152" s="70" t="s">
        <v>226</v>
      </c>
      <c r="B152" s="131" t="s">
        <v>100</v>
      </c>
      <c r="C152" s="132"/>
      <c r="D152" s="133"/>
      <c r="E152" s="71"/>
      <c r="F152" s="72"/>
      <c r="G152" s="73"/>
      <c r="H152" s="72"/>
      <c r="I152" s="73"/>
      <c r="J152" s="74"/>
      <c r="K152" s="73"/>
      <c r="L152" s="74"/>
      <c r="M152" s="73"/>
      <c r="N152" s="74"/>
      <c r="O152" s="73"/>
      <c r="P152" s="74"/>
      <c r="Q152" s="75">
        <f t="shared" si="6"/>
        <v>0</v>
      </c>
      <c r="R152" s="76">
        <f t="shared" si="6"/>
        <v>0</v>
      </c>
    </row>
    <row r="153" spans="1:18">
      <c r="A153" s="70" t="s">
        <v>593</v>
      </c>
      <c r="B153" s="131" t="s">
        <v>101</v>
      </c>
      <c r="C153" s="132"/>
      <c r="D153" s="133"/>
      <c r="E153" s="71"/>
      <c r="F153" s="72"/>
      <c r="G153" s="94"/>
      <c r="H153" s="104"/>
      <c r="I153" s="73"/>
      <c r="J153" s="74"/>
      <c r="K153" s="73"/>
      <c r="L153" s="74"/>
      <c r="M153" s="73"/>
      <c r="N153" s="74"/>
      <c r="O153" s="73"/>
      <c r="P153" s="74"/>
      <c r="Q153" s="75">
        <f t="shared" si="6"/>
        <v>0</v>
      </c>
      <c r="R153" s="76">
        <f t="shared" si="6"/>
        <v>0</v>
      </c>
    </row>
    <row r="154" spans="1:18">
      <c r="A154" s="70" t="s">
        <v>227</v>
      </c>
      <c r="B154" s="131" t="s">
        <v>102</v>
      </c>
      <c r="C154" s="132"/>
      <c r="D154" s="133"/>
      <c r="E154" s="71"/>
      <c r="F154" s="72"/>
      <c r="G154" s="73"/>
      <c r="H154" s="72"/>
      <c r="I154" s="73"/>
      <c r="J154" s="74"/>
      <c r="K154" s="73"/>
      <c r="L154" s="74"/>
      <c r="M154" s="73"/>
      <c r="N154" s="74"/>
      <c r="O154" s="73"/>
      <c r="P154" s="74"/>
      <c r="Q154" s="75">
        <f t="shared" si="6"/>
        <v>0</v>
      </c>
      <c r="R154" s="76">
        <f t="shared" si="6"/>
        <v>0</v>
      </c>
    </row>
    <row r="155" spans="1:18">
      <c r="A155" s="70" t="s">
        <v>137</v>
      </c>
      <c r="B155" s="131" t="s">
        <v>103</v>
      </c>
      <c r="C155" s="132"/>
      <c r="D155" s="133"/>
      <c r="E155" s="71"/>
      <c r="F155" s="72"/>
      <c r="G155" s="73"/>
      <c r="H155" s="72"/>
      <c r="I155" s="73"/>
      <c r="J155" s="74"/>
      <c r="K155" s="73"/>
      <c r="L155" s="74"/>
      <c r="M155" s="73"/>
      <c r="N155" s="74"/>
      <c r="O155" s="73"/>
      <c r="P155" s="74"/>
      <c r="Q155" s="75">
        <f t="shared" si="6"/>
        <v>0</v>
      </c>
      <c r="R155" s="76">
        <f t="shared" si="6"/>
        <v>0</v>
      </c>
    </row>
    <row r="156" spans="1:18" s="85" customFormat="1">
      <c r="A156" s="103" t="s">
        <v>228</v>
      </c>
      <c r="B156" s="140" t="s">
        <v>1130</v>
      </c>
      <c r="C156" s="138"/>
      <c r="D156" s="139"/>
      <c r="E156" s="79"/>
      <c r="F156" s="80"/>
      <c r="G156" s="81"/>
      <c r="H156" s="80"/>
      <c r="I156" s="81"/>
      <c r="J156" s="82"/>
      <c r="K156" s="81"/>
      <c r="L156" s="82"/>
      <c r="M156" s="81"/>
      <c r="N156" s="82"/>
      <c r="O156" s="81"/>
      <c r="P156" s="82"/>
      <c r="Q156" s="83">
        <f t="shared" ref="Q156:R175" si="7">E156+G156+I156+K156+M156+O156</f>
        <v>0</v>
      </c>
      <c r="R156" s="84">
        <f t="shared" si="7"/>
        <v>0</v>
      </c>
    </row>
    <row r="157" spans="1:18">
      <c r="A157" s="70" t="s">
        <v>229</v>
      </c>
      <c r="B157" s="131" t="s">
        <v>104</v>
      </c>
      <c r="C157" s="132"/>
      <c r="D157" s="133"/>
      <c r="E157" s="71"/>
      <c r="F157" s="72"/>
      <c r="G157" s="73"/>
      <c r="H157" s="72"/>
      <c r="I157" s="73"/>
      <c r="J157" s="74"/>
      <c r="K157" s="73"/>
      <c r="L157" s="74"/>
      <c r="M157" s="73"/>
      <c r="N157" s="74"/>
      <c r="O157" s="73"/>
      <c r="P157" s="74"/>
      <c r="Q157" s="75">
        <f t="shared" si="7"/>
        <v>0</v>
      </c>
      <c r="R157" s="76">
        <f t="shared" si="7"/>
        <v>0</v>
      </c>
    </row>
    <row r="158" spans="1:18">
      <c r="A158" s="70" t="s">
        <v>230</v>
      </c>
      <c r="B158" s="141" t="s">
        <v>105</v>
      </c>
      <c r="C158" s="142"/>
      <c r="D158" s="143"/>
      <c r="E158" s="71"/>
      <c r="F158" s="72"/>
      <c r="G158" s="73"/>
      <c r="H158" s="72"/>
      <c r="I158" s="73"/>
      <c r="J158" s="74"/>
      <c r="K158" s="73"/>
      <c r="L158" s="74"/>
      <c r="M158" s="73"/>
      <c r="N158" s="74"/>
      <c r="O158" s="73"/>
      <c r="P158" s="74"/>
      <c r="Q158" s="75">
        <f t="shared" si="7"/>
        <v>0</v>
      </c>
      <c r="R158" s="76">
        <f t="shared" si="7"/>
        <v>0</v>
      </c>
    </row>
    <row r="159" spans="1:18">
      <c r="A159" s="70" t="s">
        <v>231</v>
      </c>
      <c r="B159" s="131" t="s">
        <v>106</v>
      </c>
      <c r="C159" s="132"/>
      <c r="D159" s="133"/>
      <c r="E159" s="71"/>
      <c r="F159" s="72"/>
      <c r="G159" s="73"/>
      <c r="H159" s="72"/>
      <c r="I159" s="73"/>
      <c r="J159" s="74"/>
      <c r="K159" s="73"/>
      <c r="L159" s="74"/>
      <c r="M159" s="73"/>
      <c r="N159" s="74"/>
      <c r="O159" s="73"/>
      <c r="P159" s="74"/>
      <c r="Q159" s="75">
        <f t="shared" si="7"/>
        <v>0</v>
      </c>
      <c r="R159" s="76">
        <f t="shared" si="7"/>
        <v>0</v>
      </c>
    </row>
    <row r="160" spans="1:18">
      <c r="A160" s="70" t="s">
        <v>232</v>
      </c>
      <c r="B160" s="131" t="s">
        <v>107</v>
      </c>
      <c r="C160" s="132"/>
      <c r="D160" s="133"/>
      <c r="E160" s="71"/>
      <c r="F160" s="72"/>
      <c r="G160" s="73"/>
      <c r="H160" s="72"/>
      <c r="I160" s="73"/>
      <c r="J160" s="74"/>
      <c r="K160" s="73"/>
      <c r="L160" s="74"/>
      <c r="M160" s="73"/>
      <c r="N160" s="74"/>
      <c r="O160" s="73"/>
      <c r="P160" s="74"/>
      <c r="Q160" s="75">
        <f t="shared" si="7"/>
        <v>0</v>
      </c>
      <c r="R160" s="76">
        <f t="shared" si="7"/>
        <v>0</v>
      </c>
    </row>
    <row r="161" spans="1:18">
      <c r="A161" s="70" t="s">
        <v>732</v>
      </c>
      <c r="B161" s="131" t="s">
        <v>730</v>
      </c>
      <c r="C161" s="132"/>
      <c r="D161" s="133"/>
      <c r="E161" s="71"/>
      <c r="F161" s="72"/>
      <c r="G161" s="73"/>
      <c r="H161" s="72"/>
      <c r="I161" s="73"/>
      <c r="J161" s="74"/>
      <c r="K161" s="73"/>
      <c r="L161" s="74"/>
      <c r="M161" s="73"/>
      <c r="N161" s="74"/>
      <c r="O161" s="73"/>
      <c r="P161" s="74"/>
      <c r="Q161" s="75">
        <f t="shared" si="7"/>
        <v>0</v>
      </c>
      <c r="R161" s="76">
        <f t="shared" si="7"/>
        <v>0</v>
      </c>
    </row>
    <row r="162" spans="1:18">
      <c r="A162" s="70" t="s">
        <v>733</v>
      </c>
      <c r="B162" s="131" t="s">
        <v>731</v>
      </c>
      <c r="C162" s="132"/>
      <c r="D162" s="133"/>
      <c r="E162" s="71"/>
      <c r="F162" s="72"/>
      <c r="G162" s="73"/>
      <c r="H162" s="72"/>
      <c r="I162" s="73"/>
      <c r="J162" s="74"/>
      <c r="K162" s="73"/>
      <c r="L162" s="74"/>
      <c r="M162" s="73"/>
      <c r="N162" s="74"/>
      <c r="O162" s="73"/>
      <c r="P162" s="74"/>
      <c r="Q162" s="75">
        <f t="shared" si="7"/>
        <v>0</v>
      </c>
      <c r="R162" s="76">
        <f t="shared" si="7"/>
        <v>0</v>
      </c>
    </row>
    <row r="163" spans="1:18">
      <c r="A163" s="70" t="s">
        <v>233</v>
      </c>
      <c r="B163" s="131" t="s">
        <v>234</v>
      </c>
      <c r="C163" s="132"/>
      <c r="D163" s="133"/>
      <c r="E163" s="71"/>
      <c r="F163" s="72"/>
      <c r="G163" s="73"/>
      <c r="H163" s="72"/>
      <c r="I163" s="73"/>
      <c r="J163" s="74"/>
      <c r="K163" s="73"/>
      <c r="L163" s="74"/>
      <c r="M163" s="73"/>
      <c r="N163" s="74"/>
      <c r="O163" s="73"/>
      <c r="P163" s="74"/>
      <c r="Q163" s="75">
        <f t="shared" si="7"/>
        <v>0</v>
      </c>
      <c r="R163" s="76">
        <f t="shared" si="7"/>
        <v>0</v>
      </c>
    </row>
    <row r="164" spans="1:18">
      <c r="A164" s="70" t="s">
        <v>752</v>
      </c>
      <c r="B164" s="131" t="s">
        <v>751</v>
      </c>
      <c r="C164" s="132"/>
      <c r="D164" s="133"/>
      <c r="E164" s="71"/>
      <c r="F164" s="72"/>
      <c r="G164" s="73"/>
      <c r="H164" s="72"/>
      <c r="I164" s="73"/>
      <c r="J164" s="74"/>
      <c r="K164" s="73"/>
      <c r="L164" s="74"/>
      <c r="M164" s="73"/>
      <c r="N164" s="74"/>
      <c r="O164" s="73"/>
      <c r="P164" s="74"/>
      <c r="Q164" s="75">
        <f t="shared" si="7"/>
        <v>0</v>
      </c>
      <c r="R164" s="76">
        <f t="shared" si="7"/>
        <v>0</v>
      </c>
    </row>
    <row r="165" spans="1:18">
      <c r="A165" s="70" t="s">
        <v>235</v>
      </c>
      <c r="B165" s="131" t="s">
        <v>108</v>
      </c>
      <c r="C165" s="132"/>
      <c r="D165" s="133"/>
      <c r="E165" s="71"/>
      <c r="F165" s="72"/>
      <c r="G165" s="73"/>
      <c r="H165" s="72"/>
      <c r="I165" s="73"/>
      <c r="J165" s="74"/>
      <c r="K165" s="73"/>
      <c r="L165" s="74"/>
      <c r="M165" s="73"/>
      <c r="N165" s="74"/>
      <c r="O165" s="73"/>
      <c r="P165" s="74"/>
      <c r="Q165" s="75">
        <f t="shared" si="7"/>
        <v>0</v>
      </c>
      <c r="R165" s="76">
        <f t="shared" si="7"/>
        <v>0</v>
      </c>
    </row>
    <row r="166" spans="1:18">
      <c r="A166" s="70" t="s">
        <v>236</v>
      </c>
      <c r="B166" s="131" t="s">
        <v>1131</v>
      </c>
      <c r="C166" s="132"/>
      <c r="D166" s="133"/>
      <c r="E166" s="71"/>
      <c r="F166" s="72"/>
      <c r="G166" s="73"/>
      <c r="H166" s="72"/>
      <c r="I166" s="73"/>
      <c r="J166" s="74"/>
      <c r="K166" s="73"/>
      <c r="L166" s="74"/>
      <c r="M166" s="73"/>
      <c r="N166" s="74"/>
      <c r="O166" s="73"/>
      <c r="P166" s="74"/>
      <c r="Q166" s="75">
        <f t="shared" si="7"/>
        <v>0</v>
      </c>
      <c r="R166" s="76">
        <f t="shared" si="7"/>
        <v>0</v>
      </c>
    </row>
    <row r="167" spans="1:18">
      <c r="A167" s="70" t="s">
        <v>237</v>
      </c>
      <c r="B167" s="131" t="s">
        <v>1132</v>
      </c>
      <c r="C167" s="132"/>
      <c r="D167" s="133"/>
      <c r="E167" s="71"/>
      <c r="F167" s="72"/>
      <c r="G167" s="73"/>
      <c r="H167" s="72"/>
      <c r="I167" s="73"/>
      <c r="J167" s="74"/>
      <c r="K167" s="105"/>
      <c r="L167" s="74"/>
      <c r="M167" s="73"/>
      <c r="N167" s="74"/>
      <c r="O167" s="73"/>
      <c r="P167" s="74"/>
      <c r="Q167" s="75">
        <f t="shared" si="7"/>
        <v>0</v>
      </c>
      <c r="R167" s="76">
        <f t="shared" si="7"/>
        <v>0</v>
      </c>
    </row>
    <row r="168" spans="1:18">
      <c r="A168" s="70" t="s">
        <v>735</v>
      </c>
      <c r="B168" s="131" t="s">
        <v>734</v>
      </c>
      <c r="C168" s="132"/>
      <c r="D168" s="133"/>
      <c r="E168" s="71"/>
      <c r="F168" s="72"/>
      <c r="G168" s="73"/>
      <c r="H168" s="72"/>
      <c r="I168" s="73"/>
      <c r="J168" s="74"/>
      <c r="K168" s="73"/>
      <c r="L168" s="74"/>
      <c r="M168" s="73"/>
      <c r="N168" s="74"/>
      <c r="O168" s="73"/>
      <c r="P168" s="74"/>
      <c r="Q168" s="75">
        <f t="shared" si="7"/>
        <v>0</v>
      </c>
      <c r="R168" s="76">
        <f t="shared" si="7"/>
        <v>0</v>
      </c>
    </row>
    <row r="169" spans="1:18">
      <c r="A169" s="70" t="s">
        <v>137</v>
      </c>
      <c r="B169" s="131" t="s">
        <v>109</v>
      </c>
      <c r="C169" s="132"/>
      <c r="D169" s="133"/>
      <c r="E169" s="71"/>
      <c r="F169" s="72"/>
      <c r="G169" s="73"/>
      <c r="H169" s="72"/>
      <c r="I169" s="73"/>
      <c r="J169" s="74"/>
      <c r="K169" s="73"/>
      <c r="L169" s="74"/>
      <c r="M169" s="73"/>
      <c r="N169" s="74"/>
      <c r="O169" s="73"/>
      <c r="P169" s="74"/>
      <c r="Q169" s="75">
        <f t="shared" si="7"/>
        <v>0</v>
      </c>
      <c r="R169" s="76">
        <f t="shared" si="7"/>
        <v>0</v>
      </c>
    </row>
    <row r="170" spans="1:18">
      <c r="A170" s="70" t="s">
        <v>596</v>
      </c>
      <c r="B170" s="131" t="s">
        <v>110</v>
      </c>
      <c r="C170" s="132"/>
      <c r="D170" s="133"/>
      <c r="E170" s="71"/>
      <c r="F170" s="72"/>
      <c r="G170" s="73"/>
      <c r="H170" s="72"/>
      <c r="I170" s="73"/>
      <c r="J170" s="74"/>
      <c r="K170" s="73"/>
      <c r="L170" s="74"/>
      <c r="M170" s="73"/>
      <c r="N170" s="74"/>
      <c r="O170" s="73"/>
      <c r="P170" s="74"/>
      <c r="Q170" s="75">
        <f t="shared" si="7"/>
        <v>0</v>
      </c>
      <c r="R170" s="76">
        <f t="shared" si="7"/>
        <v>0</v>
      </c>
    </row>
    <row r="171" spans="1:18">
      <c r="A171" s="70" t="s">
        <v>137</v>
      </c>
      <c r="B171" s="131" t="s">
        <v>111</v>
      </c>
      <c r="C171" s="132"/>
      <c r="D171" s="133"/>
      <c r="E171" s="71"/>
      <c r="F171" s="72"/>
      <c r="G171" s="73"/>
      <c r="H171" s="72"/>
      <c r="I171" s="73"/>
      <c r="J171" s="74"/>
      <c r="K171" s="73"/>
      <c r="L171" s="74"/>
      <c r="M171" s="73"/>
      <c r="N171" s="74"/>
      <c r="O171" s="73"/>
      <c r="P171" s="74"/>
      <c r="Q171" s="75">
        <f t="shared" si="7"/>
        <v>0</v>
      </c>
      <c r="R171" s="76">
        <f t="shared" si="7"/>
        <v>0</v>
      </c>
    </row>
    <row r="172" spans="1:18">
      <c r="A172" s="70" t="s">
        <v>137</v>
      </c>
      <c r="B172" s="131" t="s">
        <v>112</v>
      </c>
      <c r="C172" s="132"/>
      <c r="D172" s="133"/>
      <c r="E172" s="71"/>
      <c r="F172" s="72"/>
      <c r="G172" s="73"/>
      <c r="H172" s="72"/>
      <c r="I172" s="73"/>
      <c r="J172" s="74"/>
      <c r="K172" s="73"/>
      <c r="L172" s="74"/>
      <c r="M172" s="73"/>
      <c r="N172" s="74"/>
      <c r="O172" s="73"/>
      <c r="P172" s="74"/>
      <c r="Q172" s="75">
        <f t="shared" si="7"/>
        <v>0</v>
      </c>
      <c r="R172" s="76">
        <f t="shared" si="7"/>
        <v>0</v>
      </c>
    </row>
    <row r="173" spans="1:18">
      <c r="A173" s="70" t="s">
        <v>137</v>
      </c>
      <c r="B173" s="131" t="s">
        <v>113</v>
      </c>
      <c r="C173" s="132"/>
      <c r="D173" s="133"/>
      <c r="E173" s="71"/>
      <c r="F173" s="72"/>
      <c r="G173" s="73"/>
      <c r="H173" s="72"/>
      <c r="I173" s="73"/>
      <c r="J173" s="74"/>
      <c r="K173" s="73"/>
      <c r="L173" s="74"/>
      <c r="M173" s="73"/>
      <c r="N173" s="74"/>
      <c r="O173" s="73"/>
      <c r="P173" s="74"/>
      <c r="Q173" s="75">
        <f t="shared" si="7"/>
        <v>0</v>
      </c>
      <c r="R173" s="76">
        <f t="shared" si="7"/>
        <v>0</v>
      </c>
    </row>
    <row r="174" spans="1:18">
      <c r="A174" s="70" t="s">
        <v>137</v>
      </c>
      <c r="B174" s="131" t="s">
        <v>114</v>
      </c>
      <c r="C174" s="132"/>
      <c r="D174" s="133"/>
      <c r="E174" s="71"/>
      <c r="F174" s="72"/>
      <c r="G174" s="73"/>
      <c r="H174" s="72"/>
      <c r="I174" s="73"/>
      <c r="J174" s="74"/>
      <c r="K174" s="73"/>
      <c r="L174" s="74"/>
      <c r="M174" s="73"/>
      <c r="N174" s="74"/>
      <c r="O174" s="73"/>
      <c r="P174" s="74"/>
      <c r="Q174" s="75">
        <f t="shared" si="7"/>
        <v>0</v>
      </c>
      <c r="R174" s="76">
        <f t="shared" si="7"/>
        <v>0</v>
      </c>
    </row>
    <row r="175" spans="1:18">
      <c r="A175" s="70" t="s">
        <v>137</v>
      </c>
      <c r="B175" s="131" t="s">
        <v>115</v>
      </c>
      <c r="C175" s="132"/>
      <c r="D175" s="133"/>
      <c r="E175" s="71"/>
      <c r="F175" s="72"/>
      <c r="G175" s="73"/>
      <c r="H175" s="72"/>
      <c r="I175" s="73"/>
      <c r="J175" s="74"/>
      <c r="K175" s="73"/>
      <c r="L175" s="74"/>
      <c r="M175" s="73"/>
      <c r="N175" s="74"/>
      <c r="O175" s="73"/>
      <c r="P175" s="74"/>
      <c r="Q175" s="75">
        <f t="shared" si="7"/>
        <v>0</v>
      </c>
      <c r="R175" s="76">
        <f t="shared" si="7"/>
        <v>0</v>
      </c>
    </row>
    <row r="176" spans="1:18" ht="27" thickBot="1">
      <c r="C176" s="56" t="s">
        <v>0</v>
      </c>
      <c r="D176" s="57"/>
      <c r="E176" s="57"/>
      <c r="F176" s="57"/>
      <c r="G176" s="57"/>
      <c r="H176" s="57"/>
      <c r="I176" s="57"/>
      <c r="J176" s="57"/>
      <c r="K176" s="57"/>
      <c r="L176" s="153" t="str">
        <f>M1</f>
        <v>2026年</v>
      </c>
      <c r="M176" s="153"/>
      <c r="N176" s="58" t="s">
        <v>1118</v>
      </c>
      <c r="O176" s="57" t="s">
        <v>1119</v>
      </c>
      <c r="P176" s="58"/>
      <c r="Q176" s="57"/>
    </row>
    <row r="177" spans="1:18" ht="19.2" thickTop="1" thickBot="1">
      <c r="A177" s="154" t="s">
        <v>135</v>
      </c>
      <c r="B177" s="156" t="s">
        <v>1</v>
      </c>
      <c r="C177" s="157"/>
      <c r="D177" s="158"/>
      <c r="E177" s="162" t="s">
        <v>2</v>
      </c>
      <c r="F177" s="147"/>
      <c r="G177" s="163" t="s">
        <v>3</v>
      </c>
      <c r="H177" s="148"/>
      <c r="I177" s="163" t="s">
        <v>4</v>
      </c>
      <c r="J177" s="148"/>
      <c r="K177" s="147" t="s">
        <v>5</v>
      </c>
      <c r="L177" s="148"/>
      <c r="M177" s="147" t="str">
        <f>$M$2</f>
        <v>川崎</v>
      </c>
      <c r="N177" s="148"/>
      <c r="O177" s="147" t="str">
        <f>$O$2</f>
        <v>野村</v>
      </c>
      <c r="P177" s="148"/>
      <c r="Q177" s="147" t="s">
        <v>6</v>
      </c>
      <c r="R177" s="149"/>
    </row>
    <row r="178" spans="1:18" ht="19.2" thickTop="1" thickBot="1">
      <c r="A178" s="155"/>
      <c r="B178" s="159"/>
      <c r="C178" s="160"/>
      <c r="D178" s="161"/>
      <c r="E178" s="59" t="s">
        <v>7</v>
      </c>
      <c r="F178" s="60" t="s">
        <v>8</v>
      </c>
      <c r="G178" s="61" t="s">
        <v>7</v>
      </c>
      <c r="H178" s="60" t="s">
        <v>8</v>
      </c>
      <c r="I178" s="61" t="s">
        <v>7</v>
      </c>
      <c r="J178" s="62" t="s">
        <v>8</v>
      </c>
      <c r="K178" s="61" t="s">
        <v>7</v>
      </c>
      <c r="L178" s="62" t="s">
        <v>8</v>
      </c>
      <c r="M178" s="61" t="s">
        <v>7</v>
      </c>
      <c r="N178" s="62" t="s">
        <v>8</v>
      </c>
      <c r="O178" s="61" t="s">
        <v>7</v>
      </c>
      <c r="P178" s="62" t="s">
        <v>8</v>
      </c>
      <c r="Q178" s="61" t="s">
        <v>7</v>
      </c>
      <c r="R178" s="63" t="s">
        <v>8</v>
      </c>
    </row>
    <row r="179" spans="1:18" ht="18.600000000000001" thickTop="1">
      <c r="A179" s="64"/>
      <c r="B179" s="150" t="s">
        <v>116</v>
      </c>
      <c r="C179" s="151"/>
      <c r="D179" s="152"/>
      <c r="E179" s="65"/>
      <c r="G179" s="66"/>
      <c r="I179" s="66"/>
      <c r="J179" s="67"/>
      <c r="K179" s="66"/>
      <c r="L179" s="67"/>
      <c r="M179" s="66"/>
      <c r="N179" s="67"/>
      <c r="O179" s="66"/>
      <c r="P179" s="67"/>
      <c r="Q179" s="68">
        <f>E179+G179+I179+K179+M179+O179</f>
        <v>0</v>
      </c>
      <c r="R179" s="69">
        <f>F179+H179+J179+L179+N179+P179</f>
        <v>0</v>
      </c>
    </row>
    <row r="180" spans="1:18">
      <c r="A180" s="70" t="s">
        <v>305</v>
      </c>
      <c r="B180" s="131" t="s">
        <v>117</v>
      </c>
      <c r="C180" s="132"/>
      <c r="D180" s="133"/>
      <c r="E180" s="71"/>
      <c r="F180" s="72"/>
      <c r="G180" s="73"/>
      <c r="H180" s="72"/>
      <c r="I180" s="73"/>
      <c r="J180" s="74"/>
      <c r="K180" s="73"/>
      <c r="L180" s="74"/>
      <c r="M180" s="73"/>
      <c r="N180" s="74"/>
      <c r="O180" s="73"/>
      <c r="P180" s="74"/>
      <c r="Q180" s="75">
        <f>E180+G180+I180+K180+M180+O180</f>
        <v>0</v>
      </c>
      <c r="R180" s="76">
        <f>F180+H180+J180+L180+N180+P180</f>
        <v>0</v>
      </c>
    </row>
    <row r="181" spans="1:18">
      <c r="A181" s="70" t="s">
        <v>304</v>
      </c>
      <c r="B181" s="131" t="s">
        <v>118</v>
      </c>
      <c r="C181" s="132"/>
      <c r="D181" s="133"/>
      <c r="E181" s="71"/>
      <c r="F181" s="72"/>
      <c r="G181" s="73"/>
      <c r="H181" s="72"/>
      <c r="I181" s="73"/>
      <c r="J181" s="74"/>
      <c r="K181" s="73"/>
      <c r="L181" s="74"/>
      <c r="M181" s="73"/>
      <c r="N181" s="74"/>
      <c r="O181" s="73"/>
      <c r="P181" s="74"/>
      <c r="Q181" s="75">
        <f t="shared" ref="Q181:R196" si="8">E181+G181+I181+K181+M181+O181</f>
        <v>0</v>
      </c>
      <c r="R181" s="76">
        <f t="shared" si="8"/>
        <v>0</v>
      </c>
    </row>
    <row r="182" spans="1:18">
      <c r="A182" s="70" t="s">
        <v>302</v>
      </c>
      <c r="B182" s="131" t="s">
        <v>119</v>
      </c>
      <c r="C182" s="132"/>
      <c r="D182" s="133"/>
      <c r="E182" s="71"/>
      <c r="F182" s="72"/>
      <c r="G182" s="73"/>
      <c r="H182" s="72"/>
      <c r="I182" s="73"/>
      <c r="J182" s="74"/>
      <c r="K182" s="73"/>
      <c r="L182" s="74"/>
      <c r="M182" s="73"/>
      <c r="N182" s="74"/>
      <c r="O182" s="73"/>
      <c r="P182" s="74"/>
      <c r="Q182" s="75">
        <f t="shared" si="8"/>
        <v>0</v>
      </c>
      <c r="R182" s="76">
        <f t="shared" si="8"/>
        <v>0</v>
      </c>
    </row>
    <row r="183" spans="1:18">
      <c r="A183" s="70" t="s">
        <v>303</v>
      </c>
      <c r="B183" s="131" t="s">
        <v>120</v>
      </c>
      <c r="C183" s="132"/>
      <c r="D183" s="133"/>
      <c r="E183" s="71"/>
      <c r="F183" s="72"/>
      <c r="G183" s="73"/>
      <c r="H183" s="72"/>
      <c r="I183" s="73"/>
      <c r="J183" s="74"/>
      <c r="K183" s="73"/>
      <c r="L183" s="74"/>
      <c r="M183" s="73"/>
      <c r="N183" s="74"/>
      <c r="O183" s="73"/>
      <c r="P183" s="74"/>
      <c r="Q183" s="75">
        <f t="shared" si="8"/>
        <v>0</v>
      </c>
      <c r="R183" s="76">
        <f t="shared" si="8"/>
        <v>0</v>
      </c>
    </row>
    <row r="184" spans="1:18">
      <c r="A184" s="70" t="s">
        <v>301</v>
      </c>
      <c r="B184" s="131" t="s">
        <v>121</v>
      </c>
      <c r="C184" s="132"/>
      <c r="D184" s="133"/>
      <c r="E184" s="71"/>
      <c r="F184" s="72"/>
      <c r="G184" s="73"/>
      <c r="H184" s="72"/>
      <c r="I184" s="73"/>
      <c r="J184" s="74"/>
      <c r="K184" s="73"/>
      <c r="L184" s="74"/>
      <c r="M184" s="73"/>
      <c r="N184" s="74"/>
      <c r="O184" s="73"/>
      <c r="P184" s="74"/>
      <c r="Q184" s="75">
        <f t="shared" si="8"/>
        <v>0</v>
      </c>
      <c r="R184" s="76">
        <f t="shared" si="8"/>
        <v>0</v>
      </c>
    </row>
    <row r="185" spans="1:18">
      <c r="A185" s="70" t="s">
        <v>137</v>
      </c>
      <c r="B185" s="131" t="s">
        <v>122</v>
      </c>
      <c r="C185" s="132"/>
      <c r="D185" s="133"/>
      <c r="E185" s="71"/>
      <c r="F185" s="72"/>
      <c r="G185" s="73"/>
      <c r="H185" s="72"/>
      <c r="I185" s="73"/>
      <c r="J185" s="74"/>
      <c r="K185" s="73"/>
      <c r="L185" s="74"/>
      <c r="M185" s="73"/>
      <c r="N185" s="74"/>
      <c r="O185" s="73"/>
      <c r="P185" s="74"/>
      <c r="Q185" s="75">
        <f t="shared" si="8"/>
        <v>0</v>
      </c>
      <c r="R185" s="76">
        <f t="shared" si="8"/>
        <v>0</v>
      </c>
    </row>
    <row r="186" spans="1:18">
      <c r="A186" s="70" t="s">
        <v>137</v>
      </c>
      <c r="B186" s="131" t="s">
        <v>123</v>
      </c>
      <c r="C186" s="132"/>
      <c r="D186" s="133"/>
      <c r="E186" s="71"/>
      <c r="F186" s="72"/>
      <c r="G186" s="73"/>
      <c r="H186" s="72"/>
      <c r="I186" s="73"/>
      <c r="J186" s="74"/>
      <c r="K186" s="73"/>
      <c r="L186" s="74"/>
      <c r="M186" s="73"/>
      <c r="N186" s="74"/>
      <c r="O186" s="73"/>
      <c r="P186" s="74"/>
      <c r="Q186" s="75">
        <f t="shared" si="8"/>
        <v>0</v>
      </c>
      <c r="R186" s="76">
        <f t="shared" si="8"/>
        <v>0</v>
      </c>
    </row>
    <row r="187" spans="1:18">
      <c r="A187" s="70" t="s">
        <v>238</v>
      </c>
      <c r="B187" s="131" t="s">
        <v>124</v>
      </c>
      <c r="C187" s="132"/>
      <c r="D187" s="133"/>
      <c r="E187" s="71"/>
      <c r="F187" s="72"/>
      <c r="G187" s="73"/>
      <c r="H187" s="72"/>
      <c r="I187" s="73"/>
      <c r="J187" s="74"/>
      <c r="K187" s="73"/>
      <c r="L187" s="74"/>
      <c r="M187" s="73"/>
      <c r="N187" s="74"/>
      <c r="O187" s="73"/>
      <c r="P187" s="74"/>
      <c r="Q187" s="75">
        <f t="shared" si="8"/>
        <v>0</v>
      </c>
      <c r="R187" s="76">
        <f t="shared" si="8"/>
        <v>0</v>
      </c>
    </row>
    <row r="188" spans="1:18">
      <c r="A188" s="70" t="s">
        <v>239</v>
      </c>
      <c r="B188" s="131" t="s">
        <v>706</v>
      </c>
      <c r="C188" s="132"/>
      <c r="D188" s="133"/>
      <c r="E188" s="71"/>
      <c r="F188" s="72"/>
      <c r="G188" s="73"/>
      <c r="H188" s="72"/>
      <c r="I188" s="73"/>
      <c r="J188" s="74"/>
      <c r="K188" s="73"/>
      <c r="L188" s="74"/>
      <c r="M188" s="73"/>
      <c r="N188" s="74"/>
      <c r="O188" s="73"/>
      <c r="P188" s="74"/>
      <c r="Q188" s="75">
        <f t="shared" si="8"/>
        <v>0</v>
      </c>
      <c r="R188" s="76">
        <f t="shared" si="8"/>
        <v>0</v>
      </c>
    </row>
    <row r="189" spans="1:18">
      <c r="A189" s="70" t="s">
        <v>684</v>
      </c>
      <c r="B189" s="131" t="s">
        <v>707</v>
      </c>
      <c r="C189" s="132"/>
      <c r="D189" s="133"/>
      <c r="E189" s="71"/>
      <c r="F189" s="72"/>
      <c r="G189" s="73"/>
      <c r="H189" s="72"/>
      <c r="I189" s="73"/>
      <c r="J189" s="74"/>
      <c r="K189" s="73"/>
      <c r="L189" s="74"/>
      <c r="M189" s="73"/>
      <c r="N189" s="74"/>
      <c r="O189" s="73"/>
      <c r="P189" s="74"/>
      <c r="Q189" s="75">
        <f t="shared" si="8"/>
        <v>0</v>
      </c>
      <c r="R189" s="76">
        <f t="shared" si="8"/>
        <v>0</v>
      </c>
    </row>
    <row r="190" spans="1:18">
      <c r="A190" s="70" t="s">
        <v>690</v>
      </c>
      <c r="B190" s="131" t="s">
        <v>714</v>
      </c>
      <c r="C190" s="132"/>
      <c r="D190" s="133"/>
      <c r="E190" s="71"/>
      <c r="F190" s="72"/>
      <c r="G190" s="73"/>
      <c r="H190" s="72"/>
      <c r="I190" s="73"/>
      <c r="J190" s="74"/>
      <c r="K190" s="73"/>
      <c r="L190" s="74"/>
      <c r="M190" s="73"/>
      <c r="N190" s="74"/>
      <c r="O190" s="73"/>
      <c r="P190" s="74"/>
      <c r="Q190" s="75">
        <f t="shared" si="8"/>
        <v>0</v>
      </c>
      <c r="R190" s="76">
        <f t="shared" si="8"/>
        <v>0</v>
      </c>
    </row>
    <row r="191" spans="1:18">
      <c r="A191" s="70" t="s">
        <v>240</v>
      </c>
      <c r="B191" s="131" t="s">
        <v>125</v>
      </c>
      <c r="C191" s="132"/>
      <c r="D191" s="133"/>
      <c r="E191" s="71"/>
      <c r="F191" s="72"/>
      <c r="G191" s="73"/>
      <c r="H191" s="72"/>
      <c r="I191" s="73"/>
      <c r="J191" s="74"/>
      <c r="K191" s="73"/>
      <c r="L191" s="74"/>
      <c r="M191" s="73"/>
      <c r="N191" s="74"/>
      <c r="O191" s="73"/>
      <c r="P191" s="74"/>
      <c r="Q191" s="75">
        <f t="shared" si="8"/>
        <v>0</v>
      </c>
      <c r="R191" s="76">
        <f t="shared" si="8"/>
        <v>0</v>
      </c>
    </row>
    <row r="192" spans="1:18">
      <c r="A192" s="70" t="s">
        <v>137</v>
      </c>
      <c r="B192" s="144" t="s">
        <v>126</v>
      </c>
      <c r="C192" s="145"/>
      <c r="D192" s="146"/>
      <c r="E192" s="71"/>
      <c r="F192" s="72"/>
      <c r="G192" s="73"/>
      <c r="H192" s="72"/>
      <c r="I192" s="73"/>
      <c r="J192" s="74"/>
      <c r="K192" s="73"/>
      <c r="L192" s="74"/>
      <c r="M192" s="73"/>
      <c r="N192" s="74"/>
      <c r="O192" s="73"/>
      <c r="P192" s="74"/>
      <c r="Q192" s="75">
        <f t="shared" si="8"/>
        <v>0</v>
      </c>
      <c r="R192" s="76">
        <f t="shared" si="8"/>
        <v>0</v>
      </c>
    </row>
    <row r="193" spans="1:18">
      <c r="A193" s="70" t="s">
        <v>241</v>
      </c>
      <c r="B193" s="131" t="s">
        <v>127</v>
      </c>
      <c r="C193" s="132"/>
      <c r="D193" s="133"/>
      <c r="E193" s="71"/>
      <c r="F193" s="72"/>
      <c r="G193" s="73"/>
      <c r="H193" s="72"/>
      <c r="I193" s="73"/>
      <c r="J193" s="74"/>
      <c r="K193" s="73"/>
      <c r="L193" s="74"/>
      <c r="M193" s="73"/>
      <c r="N193" s="74"/>
      <c r="O193" s="73"/>
      <c r="P193" s="74"/>
      <c r="Q193" s="75">
        <f t="shared" si="8"/>
        <v>0</v>
      </c>
      <c r="R193" s="76">
        <f t="shared" si="8"/>
        <v>0</v>
      </c>
    </row>
    <row r="194" spans="1:18">
      <c r="A194" s="70" t="s">
        <v>243</v>
      </c>
      <c r="B194" s="131" t="s">
        <v>242</v>
      </c>
      <c r="C194" s="132"/>
      <c r="D194" s="133"/>
      <c r="E194" s="71"/>
      <c r="F194" s="72"/>
      <c r="G194" s="73"/>
      <c r="H194" s="72"/>
      <c r="I194" s="73"/>
      <c r="J194" s="74"/>
      <c r="K194" s="73"/>
      <c r="L194" s="74"/>
      <c r="M194" s="73"/>
      <c r="N194" s="74"/>
      <c r="O194" s="73"/>
      <c r="P194" s="74"/>
      <c r="Q194" s="75">
        <f t="shared" si="8"/>
        <v>0</v>
      </c>
      <c r="R194" s="76">
        <f t="shared" si="8"/>
        <v>0</v>
      </c>
    </row>
    <row r="195" spans="1:18">
      <c r="A195" s="70" t="s">
        <v>244</v>
      </c>
      <c r="B195" s="131" t="s">
        <v>245</v>
      </c>
      <c r="C195" s="132"/>
      <c r="D195" s="133"/>
      <c r="E195" s="71"/>
      <c r="F195" s="72"/>
      <c r="G195" s="73"/>
      <c r="H195" s="72"/>
      <c r="I195" s="73"/>
      <c r="J195" s="74"/>
      <c r="K195" s="73"/>
      <c r="L195" s="74"/>
      <c r="M195" s="73"/>
      <c r="N195" s="74"/>
      <c r="O195" s="73"/>
      <c r="P195" s="74"/>
      <c r="Q195" s="75">
        <f t="shared" si="8"/>
        <v>0</v>
      </c>
      <c r="R195" s="76">
        <f t="shared" si="8"/>
        <v>0</v>
      </c>
    </row>
    <row r="196" spans="1:18">
      <c r="A196" s="70" t="s">
        <v>246</v>
      </c>
      <c r="B196" s="131" t="s">
        <v>128</v>
      </c>
      <c r="C196" s="132"/>
      <c r="D196" s="133"/>
      <c r="E196" s="71"/>
      <c r="F196" s="72"/>
      <c r="G196" s="73"/>
      <c r="H196" s="72"/>
      <c r="I196" s="73"/>
      <c r="J196" s="74"/>
      <c r="K196" s="73"/>
      <c r="L196" s="74"/>
      <c r="M196" s="73"/>
      <c r="N196" s="74"/>
      <c r="O196" s="73"/>
      <c r="P196" s="74"/>
      <c r="Q196" s="75">
        <f t="shared" si="8"/>
        <v>0</v>
      </c>
      <c r="R196" s="76">
        <f t="shared" si="8"/>
        <v>0</v>
      </c>
    </row>
    <row r="197" spans="1:18">
      <c r="A197" s="70" t="s">
        <v>247</v>
      </c>
      <c r="B197" s="131" t="s">
        <v>129</v>
      </c>
      <c r="C197" s="132"/>
      <c r="D197" s="133"/>
      <c r="E197" s="71"/>
      <c r="F197" s="72"/>
      <c r="G197" s="73"/>
      <c r="H197" s="72"/>
      <c r="I197" s="73"/>
      <c r="J197" s="74"/>
      <c r="K197" s="73"/>
      <c r="L197" s="74"/>
      <c r="M197" s="73"/>
      <c r="N197" s="74"/>
      <c r="O197" s="73"/>
      <c r="P197" s="74"/>
      <c r="Q197" s="75">
        <f t="shared" ref="Q197:R253" si="9">E197+G197+I197+K197+M197+O197</f>
        <v>0</v>
      </c>
      <c r="R197" s="76">
        <f t="shared" si="9"/>
        <v>0</v>
      </c>
    </row>
    <row r="198" spans="1:18">
      <c r="A198" s="70" t="s">
        <v>729</v>
      </c>
      <c r="B198" s="131" t="s">
        <v>728</v>
      </c>
      <c r="C198" s="132"/>
      <c r="D198" s="133"/>
      <c r="E198" s="71"/>
      <c r="F198" s="72"/>
      <c r="G198" s="73"/>
      <c r="H198" s="72"/>
      <c r="I198" s="73"/>
      <c r="J198" s="74"/>
      <c r="K198" s="73"/>
      <c r="L198" s="74"/>
      <c r="M198" s="73"/>
      <c r="N198" s="74"/>
      <c r="O198" s="73"/>
      <c r="P198" s="74"/>
      <c r="Q198" s="75">
        <f t="shared" si="9"/>
        <v>0</v>
      </c>
      <c r="R198" s="76">
        <f t="shared" si="9"/>
        <v>0</v>
      </c>
    </row>
    <row r="199" spans="1:18">
      <c r="A199" s="70" t="s">
        <v>248</v>
      </c>
      <c r="B199" s="131" t="s">
        <v>130</v>
      </c>
      <c r="C199" s="132"/>
      <c r="D199" s="133"/>
      <c r="E199" s="71"/>
      <c r="F199" s="72"/>
      <c r="G199" s="73"/>
      <c r="H199" s="72"/>
      <c r="I199" s="73"/>
      <c r="J199" s="74"/>
      <c r="K199" s="73"/>
      <c r="L199" s="74"/>
      <c r="M199" s="73"/>
      <c r="N199" s="74"/>
      <c r="O199" s="73"/>
      <c r="P199" s="74"/>
      <c r="Q199" s="75">
        <f t="shared" si="9"/>
        <v>0</v>
      </c>
      <c r="R199" s="76">
        <f t="shared" si="9"/>
        <v>0</v>
      </c>
    </row>
    <row r="200" spans="1:18">
      <c r="A200" s="70" t="s">
        <v>249</v>
      </c>
      <c r="B200" s="131" t="s">
        <v>131</v>
      </c>
      <c r="C200" s="132"/>
      <c r="D200" s="133"/>
      <c r="E200" s="71"/>
      <c r="F200" s="72"/>
      <c r="G200" s="73"/>
      <c r="H200" s="72"/>
      <c r="I200" s="73"/>
      <c r="J200" s="74"/>
      <c r="K200" s="73"/>
      <c r="L200" s="74"/>
      <c r="M200" s="73"/>
      <c r="N200" s="74"/>
      <c r="O200" s="73"/>
      <c r="P200" s="74"/>
      <c r="Q200" s="75">
        <f t="shared" si="9"/>
        <v>0</v>
      </c>
      <c r="R200" s="76">
        <f t="shared" si="9"/>
        <v>0</v>
      </c>
    </row>
    <row r="201" spans="1:18">
      <c r="A201" s="70" t="s">
        <v>250</v>
      </c>
      <c r="B201" s="141" t="s">
        <v>132</v>
      </c>
      <c r="C201" s="142"/>
      <c r="D201" s="143"/>
      <c r="E201" s="71"/>
      <c r="F201" s="72"/>
      <c r="G201" s="73"/>
      <c r="H201" s="72"/>
      <c r="I201" s="73"/>
      <c r="J201" s="74"/>
      <c r="K201" s="73"/>
      <c r="L201" s="74"/>
      <c r="M201" s="73"/>
      <c r="N201" s="74"/>
      <c r="O201" s="73"/>
      <c r="P201" s="74"/>
      <c r="Q201" s="75">
        <f t="shared" si="9"/>
        <v>0</v>
      </c>
      <c r="R201" s="76">
        <f t="shared" si="9"/>
        <v>0</v>
      </c>
    </row>
    <row r="202" spans="1:18">
      <c r="A202" s="70" t="s">
        <v>648</v>
      </c>
      <c r="B202" s="141" t="s">
        <v>721</v>
      </c>
      <c r="C202" s="142"/>
      <c r="D202" s="143"/>
      <c r="E202" s="71"/>
      <c r="F202" s="72"/>
      <c r="G202" s="73"/>
      <c r="H202" s="72"/>
      <c r="I202" s="73"/>
      <c r="J202" s="74"/>
      <c r="K202" s="73"/>
      <c r="L202" s="74"/>
      <c r="M202" s="73"/>
      <c r="N202" s="74"/>
      <c r="O202" s="73"/>
      <c r="P202" s="74"/>
      <c r="Q202" s="75">
        <f t="shared" si="9"/>
        <v>0</v>
      </c>
      <c r="R202" s="76">
        <f t="shared" si="9"/>
        <v>0</v>
      </c>
    </row>
    <row r="203" spans="1:18">
      <c r="A203" s="70" t="s">
        <v>767</v>
      </c>
      <c r="B203" s="141" t="s">
        <v>766</v>
      </c>
      <c r="C203" s="142"/>
      <c r="D203" s="143"/>
      <c r="E203" s="71"/>
      <c r="F203" s="72"/>
      <c r="G203" s="73"/>
      <c r="H203" s="72"/>
      <c r="I203" s="73"/>
      <c r="J203" s="74"/>
      <c r="K203" s="73"/>
      <c r="L203" s="74"/>
      <c r="M203" s="73"/>
      <c r="N203" s="74"/>
      <c r="O203" s="73"/>
      <c r="P203" s="74"/>
      <c r="Q203" s="75">
        <f t="shared" si="9"/>
        <v>0</v>
      </c>
      <c r="R203" s="76">
        <f t="shared" si="9"/>
        <v>0</v>
      </c>
    </row>
    <row r="204" spans="1:18">
      <c r="A204" s="70" t="s">
        <v>253</v>
      </c>
      <c r="B204" s="131" t="s">
        <v>251</v>
      </c>
      <c r="C204" s="132"/>
      <c r="D204" s="133"/>
      <c r="E204" s="71"/>
      <c r="F204" s="72"/>
      <c r="G204" s="73"/>
      <c r="H204" s="72"/>
      <c r="I204" s="73"/>
      <c r="J204" s="74"/>
      <c r="K204" s="73"/>
      <c r="L204" s="74"/>
      <c r="M204" s="73"/>
      <c r="N204" s="74"/>
      <c r="O204" s="73"/>
      <c r="P204" s="74"/>
      <c r="Q204" s="75">
        <f t="shared" si="9"/>
        <v>0</v>
      </c>
      <c r="R204" s="76">
        <f t="shared" si="9"/>
        <v>0</v>
      </c>
    </row>
    <row r="205" spans="1:18">
      <c r="A205" s="70" t="s">
        <v>254</v>
      </c>
      <c r="B205" s="131" t="s">
        <v>252</v>
      </c>
      <c r="C205" s="132"/>
      <c r="D205" s="133"/>
      <c r="E205" s="71"/>
      <c r="F205" s="72"/>
      <c r="G205" s="73"/>
      <c r="H205" s="72"/>
      <c r="I205" s="73"/>
      <c r="J205" s="74"/>
      <c r="K205" s="73"/>
      <c r="L205" s="74"/>
      <c r="M205" s="73"/>
      <c r="N205" s="74"/>
      <c r="O205" s="73"/>
      <c r="P205" s="74"/>
      <c r="Q205" s="75">
        <f t="shared" si="9"/>
        <v>0</v>
      </c>
      <c r="R205" s="76">
        <f t="shared" si="9"/>
        <v>0</v>
      </c>
    </row>
    <row r="206" spans="1:18">
      <c r="A206" s="70" t="s">
        <v>255</v>
      </c>
      <c r="B206" s="131" t="s">
        <v>771</v>
      </c>
      <c r="C206" s="132"/>
      <c r="D206" s="133"/>
      <c r="E206" s="71"/>
      <c r="F206" s="72"/>
      <c r="G206" s="73"/>
      <c r="H206" s="72"/>
      <c r="I206" s="73"/>
      <c r="J206" s="74"/>
      <c r="K206" s="73"/>
      <c r="L206" s="74"/>
      <c r="M206" s="73"/>
      <c r="N206" s="74"/>
      <c r="O206" s="73"/>
      <c r="P206" s="74"/>
      <c r="Q206" s="75">
        <f t="shared" si="9"/>
        <v>0</v>
      </c>
      <c r="R206" s="76">
        <f t="shared" si="9"/>
        <v>0</v>
      </c>
    </row>
    <row r="207" spans="1:18">
      <c r="A207" s="70" t="s">
        <v>256</v>
      </c>
      <c r="B207" s="131" t="s">
        <v>770</v>
      </c>
      <c r="C207" s="132"/>
      <c r="D207" s="133"/>
      <c r="E207" s="71"/>
      <c r="F207" s="72"/>
      <c r="G207" s="73"/>
      <c r="H207" s="72"/>
      <c r="I207" s="73"/>
      <c r="J207" s="74"/>
      <c r="K207" s="73"/>
      <c r="L207" s="74"/>
      <c r="M207" s="73"/>
      <c r="N207" s="74"/>
      <c r="O207" s="73"/>
      <c r="P207" s="74"/>
      <c r="Q207" s="75">
        <f t="shared" si="9"/>
        <v>0</v>
      </c>
      <c r="R207" s="76">
        <f t="shared" si="9"/>
        <v>0</v>
      </c>
    </row>
    <row r="208" spans="1:18">
      <c r="A208" s="70" t="s">
        <v>257</v>
      </c>
      <c r="B208" s="131" t="s">
        <v>769</v>
      </c>
      <c r="C208" s="132"/>
      <c r="D208" s="133"/>
      <c r="E208" s="71"/>
      <c r="F208" s="72"/>
      <c r="G208" s="73"/>
      <c r="H208" s="72"/>
      <c r="I208" s="73"/>
      <c r="J208" s="74"/>
      <c r="K208" s="73"/>
      <c r="L208" s="74"/>
      <c r="M208" s="73"/>
      <c r="N208" s="74"/>
      <c r="O208" s="73"/>
      <c r="P208" s="74"/>
      <c r="Q208" s="75">
        <f t="shared" si="9"/>
        <v>0</v>
      </c>
      <c r="R208" s="76">
        <f t="shared" si="9"/>
        <v>0</v>
      </c>
    </row>
    <row r="209" spans="1:18">
      <c r="A209" s="70" t="s">
        <v>258</v>
      </c>
      <c r="B209" s="131" t="s">
        <v>772</v>
      </c>
      <c r="C209" s="132"/>
      <c r="D209" s="133"/>
      <c r="E209" s="71"/>
      <c r="F209" s="72"/>
      <c r="G209" s="73"/>
      <c r="H209" s="72"/>
      <c r="I209" s="73"/>
      <c r="J209" s="74"/>
      <c r="K209" s="73"/>
      <c r="L209" s="74"/>
      <c r="M209" s="73"/>
      <c r="N209" s="74"/>
      <c r="O209" s="73"/>
      <c r="P209" s="74"/>
      <c r="Q209" s="75">
        <f t="shared" si="9"/>
        <v>0</v>
      </c>
      <c r="R209" s="76">
        <f t="shared" si="9"/>
        <v>0</v>
      </c>
    </row>
    <row r="210" spans="1:18">
      <c r="A210" s="70" t="s">
        <v>747</v>
      </c>
      <c r="B210" s="131" t="s">
        <v>133</v>
      </c>
      <c r="C210" s="132"/>
      <c r="D210" s="133"/>
      <c r="E210" s="71"/>
      <c r="F210" s="72"/>
      <c r="G210" s="73"/>
      <c r="H210" s="72"/>
      <c r="I210" s="73"/>
      <c r="J210" s="74"/>
      <c r="K210" s="73"/>
      <c r="L210" s="74"/>
      <c r="M210" s="73"/>
      <c r="N210" s="74"/>
      <c r="O210" s="73"/>
      <c r="P210" s="74"/>
      <c r="Q210" s="75">
        <f t="shared" si="9"/>
        <v>0</v>
      </c>
      <c r="R210" s="76">
        <f t="shared" si="9"/>
        <v>0</v>
      </c>
    </row>
    <row r="211" spans="1:18">
      <c r="A211" s="70" t="s">
        <v>137</v>
      </c>
      <c r="B211" s="131" t="s">
        <v>134</v>
      </c>
      <c r="C211" s="132"/>
      <c r="D211" s="133"/>
      <c r="E211" s="71"/>
      <c r="F211" s="72"/>
      <c r="G211" s="73"/>
      <c r="H211" s="72"/>
      <c r="I211" s="73"/>
      <c r="J211" s="74"/>
      <c r="K211" s="73"/>
      <c r="L211" s="74"/>
      <c r="M211" s="73"/>
      <c r="N211" s="74"/>
      <c r="O211" s="73"/>
      <c r="P211" s="74"/>
      <c r="Q211" s="75">
        <f t="shared" si="9"/>
        <v>0</v>
      </c>
      <c r="R211" s="76">
        <f t="shared" si="9"/>
        <v>0</v>
      </c>
    </row>
    <row r="212" spans="1:18">
      <c r="A212" s="70"/>
      <c r="B212" s="131" t="s">
        <v>1133</v>
      </c>
      <c r="C212" s="132"/>
      <c r="D212" s="133"/>
      <c r="E212" s="71"/>
      <c r="F212" s="72"/>
      <c r="G212" s="73"/>
      <c r="H212" s="72"/>
      <c r="I212" s="73"/>
      <c r="J212" s="74"/>
      <c r="K212" s="73"/>
      <c r="L212" s="74"/>
      <c r="M212" s="73"/>
      <c r="N212" s="74"/>
      <c r="O212" s="73"/>
      <c r="P212" s="74"/>
      <c r="Q212" s="75">
        <f t="shared" si="9"/>
        <v>0</v>
      </c>
      <c r="R212" s="76">
        <f t="shared" si="9"/>
        <v>0</v>
      </c>
    </row>
    <row r="213" spans="1:18">
      <c r="A213" s="70"/>
      <c r="B213" s="131" t="s">
        <v>1134</v>
      </c>
      <c r="C213" s="132"/>
      <c r="D213" s="133"/>
      <c r="E213" s="71"/>
      <c r="F213" s="72"/>
      <c r="G213" s="73"/>
      <c r="H213" s="72"/>
      <c r="I213" s="73"/>
      <c r="J213" s="74"/>
      <c r="K213" s="73"/>
      <c r="L213" s="74"/>
      <c r="M213" s="73"/>
      <c r="N213" s="74"/>
      <c r="O213" s="73"/>
      <c r="P213" s="74"/>
      <c r="Q213" s="75">
        <f t="shared" si="9"/>
        <v>0</v>
      </c>
      <c r="R213" s="76">
        <f t="shared" si="9"/>
        <v>0</v>
      </c>
    </row>
    <row r="214" spans="1:18">
      <c r="A214" s="70"/>
      <c r="B214" s="131" t="s">
        <v>1135</v>
      </c>
      <c r="C214" s="132"/>
      <c r="D214" s="133"/>
      <c r="E214" s="71"/>
      <c r="F214" s="72"/>
      <c r="G214" s="73"/>
      <c r="H214" s="72"/>
      <c r="I214" s="73"/>
      <c r="J214" s="74"/>
      <c r="K214" s="73"/>
      <c r="L214" s="74"/>
      <c r="M214" s="73"/>
      <c r="N214" s="74"/>
      <c r="O214" s="73"/>
      <c r="P214" s="74"/>
      <c r="Q214" s="75">
        <f t="shared" si="9"/>
        <v>0</v>
      </c>
      <c r="R214" s="76">
        <f t="shared" si="9"/>
        <v>0</v>
      </c>
    </row>
    <row r="215" spans="1:18">
      <c r="A215" s="70" t="s">
        <v>137</v>
      </c>
      <c r="B215" s="131" t="s">
        <v>1136</v>
      </c>
      <c r="C215" s="132"/>
      <c r="D215" s="133"/>
      <c r="E215" s="71"/>
      <c r="F215" s="72"/>
      <c r="G215" s="73"/>
      <c r="H215" s="72"/>
      <c r="I215" s="73"/>
      <c r="J215" s="74"/>
      <c r="K215" s="73"/>
      <c r="L215" s="74"/>
      <c r="M215" s="73"/>
      <c r="N215" s="74"/>
      <c r="O215" s="73"/>
      <c r="P215" s="74"/>
      <c r="Q215" s="75">
        <f t="shared" si="9"/>
        <v>0</v>
      </c>
      <c r="R215" s="76">
        <f t="shared" si="9"/>
        <v>0</v>
      </c>
    </row>
    <row r="216" spans="1:18" s="85" customFormat="1">
      <c r="A216" s="78"/>
      <c r="B216" s="137" t="s">
        <v>1137</v>
      </c>
      <c r="C216" s="138"/>
      <c r="D216" s="139"/>
      <c r="E216" s="79"/>
      <c r="F216" s="80"/>
      <c r="G216" s="81"/>
      <c r="H216" s="80"/>
      <c r="I216" s="81"/>
      <c r="J216" s="82"/>
      <c r="K216" s="81"/>
      <c r="L216" s="82"/>
      <c r="M216" s="81"/>
      <c r="N216" s="82"/>
      <c r="O216" s="81"/>
      <c r="P216" s="82"/>
      <c r="Q216" s="83">
        <f t="shared" si="9"/>
        <v>0</v>
      </c>
      <c r="R216" s="84">
        <f t="shared" si="9"/>
        <v>0</v>
      </c>
    </row>
    <row r="217" spans="1:18">
      <c r="A217" s="70"/>
      <c r="B217" s="131" t="s">
        <v>1138</v>
      </c>
      <c r="C217" s="132"/>
      <c r="D217" s="133"/>
      <c r="E217" s="71"/>
      <c r="F217" s="72"/>
      <c r="G217" s="73"/>
      <c r="H217" s="72"/>
      <c r="I217" s="73"/>
      <c r="J217" s="74"/>
      <c r="K217" s="73"/>
      <c r="L217" s="74"/>
      <c r="M217" s="73"/>
      <c r="N217" s="74"/>
      <c r="O217" s="73"/>
      <c r="P217" s="74"/>
      <c r="Q217" s="75">
        <f t="shared" si="9"/>
        <v>0</v>
      </c>
      <c r="R217" s="76">
        <f t="shared" si="9"/>
        <v>0</v>
      </c>
    </row>
    <row r="218" spans="1:18">
      <c r="A218" s="70"/>
      <c r="B218" s="131" t="s">
        <v>1139</v>
      </c>
      <c r="C218" s="132"/>
      <c r="D218" s="133"/>
      <c r="E218" s="71"/>
      <c r="F218" s="72"/>
      <c r="G218" s="73"/>
      <c r="H218" s="72"/>
      <c r="I218" s="73"/>
      <c r="J218" s="74"/>
      <c r="K218" s="73"/>
      <c r="L218" s="74"/>
      <c r="M218" s="73"/>
      <c r="N218" s="74"/>
      <c r="O218" s="73"/>
      <c r="P218" s="74"/>
      <c r="Q218" s="75">
        <f t="shared" si="9"/>
        <v>0</v>
      </c>
      <c r="R218" s="76">
        <f t="shared" si="9"/>
        <v>0</v>
      </c>
    </row>
    <row r="219" spans="1:18">
      <c r="A219" s="70"/>
      <c r="B219" s="131" t="s">
        <v>1140</v>
      </c>
      <c r="C219" s="132"/>
      <c r="D219" s="133"/>
      <c r="E219" s="71"/>
      <c r="F219" s="72"/>
      <c r="G219" s="73"/>
      <c r="H219" s="72"/>
      <c r="I219" s="73"/>
      <c r="J219" s="74"/>
      <c r="K219" s="73"/>
      <c r="L219" s="74"/>
      <c r="M219" s="73"/>
      <c r="N219" s="74"/>
      <c r="O219" s="73"/>
      <c r="P219" s="74"/>
      <c r="Q219" s="75">
        <f t="shared" si="9"/>
        <v>0</v>
      </c>
      <c r="R219" s="76">
        <f t="shared" si="9"/>
        <v>0</v>
      </c>
    </row>
    <row r="220" spans="1:18">
      <c r="A220" s="70"/>
      <c r="B220" s="131" t="s">
        <v>1141</v>
      </c>
      <c r="C220" s="132"/>
      <c r="D220" s="133"/>
      <c r="E220" s="71"/>
      <c r="F220" s="72"/>
      <c r="G220" s="73"/>
      <c r="H220" s="72"/>
      <c r="I220" s="73"/>
      <c r="J220" s="74"/>
      <c r="K220" s="73"/>
      <c r="L220" s="74"/>
      <c r="M220" s="73"/>
      <c r="N220" s="74"/>
      <c r="O220" s="73"/>
      <c r="P220" s="74"/>
      <c r="Q220" s="75">
        <f t="shared" si="9"/>
        <v>0</v>
      </c>
      <c r="R220" s="76">
        <f t="shared" si="9"/>
        <v>0</v>
      </c>
    </row>
    <row r="221" spans="1:18">
      <c r="A221" s="70"/>
      <c r="B221" s="131" t="s">
        <v>1142</v>
      </c>
      <c r="C221" s="132"/>
      <c r="D221" s="133"/>
      <c r="E221" s="71"/>
      <c r="F221" s="72"/>
      <c r="G221" s="73"/>
      <c r="H221" s="72"/>
      <c r="I221" s="73"/>
      <c r="J221" s="74"/>
      <c r="K221" s="73"/>
      <c r="L221" s="74"/>
      <c r="M221" s="73"/>
      <c r="N221" s="74"/>
      <c r="O221" s="73"/>
      <c r="P221" s="74"/>
      <c r="Q221" s="75">
        <f t="shared" si="9"/>
        <v>0</v>
      </c>
      <c r="R221" s="76">
        <f t="shared" si="9"/>
        <v>0</v>
      </c>
    </row>
    <row r="222" spans="1:18">
      <c r="A222" s="70"/>
      <c r="B222" s="131" t="s">
        <v>1143</v>
      </c>
      <c r="C222" s="132"/>
      <c r="D222" s="133"/>
      <c r="E222" s="71"/>
      <c r="F222" s="72"/>
      <c r="G222" s="73"/>
      <c r="H222" s="72"/>
      <c r="I222" s="73"/>
      <c r="J222" s="74"/>
      <c r="K222" s="73"/>
      <c r="L222" s="74"/>
      <c r="M222" s="73"/>
      <c r="N222" s="74"/>
      <c r="O222" s="73"/>
      <c r="P222" s="74"/>
      <c r="Q222" s="75">
        <f t="shared" si="9"/>
        <v>0</v>
      </c>
      <c r="R222" s="76">
        <f t="shared" si="9"/>
        <v>0</v>
      </c>
    </row>
    <row r="223" spans="1:18">
      <c r="A223" s="70"/>
      <c r="B223" s="131" t="s">
        <v>1144</v>
      </c>
      <c r="C223" s="132"/>
      <c r="D223" s="133"/>
      <c r="E223" s="71"/>
      <c r="F223" s="72"/>
      <c r="G223" s="73"/>
      <c r="H223" s="72"/>
      <c r="I223" s="73"/>
      <c r="J223" s="74"/>
      <c r="K223" s="73"/>
      <c r="L223" s="74"/>
      <c r="M223" s="73"/>
      <c r="N223" s="74"/>
      <c r="O223" s="73"/>
      <c r="P223" s="74"/>
      <c r="Q223" s="75">
        <f t="shared" si="9"/>
        <v>0</v>
      </c>
      <c r="R223" s="76">
        <f t="shared" si="9"/>
        <v>0</v>
      </c>
    </row>
    <row r="224" spans="1:18">
      <c r="A224" s="70"/>
      <c r="B224" s="131" t="s">
        <v>1145</v>
      </c>
      <c r="C224" s="132"/>
      <c r="D224" s="133"/>
      <c r="E224" s="71"/>
      <c r="F224" s="72"/>
      <c r="G224" s="73"/>
      <c r="H224" s="72"/>
      <c r="I224" s="73"/>
      <c r="J224" s="74"/>
      <c r="K224" s="73"/>
      <c r="L224" s="74"/>
      <c r="M224" s="73"/>
      <c r="N224" s="74"/>
      <c r="O224" s="73"/>
      <c r="P224" s="74"/>
      <c r="Q224" s="75">
        <f t="shared" si="9"/>
        <v>0</v>
      </c>
      <c r="R224" s="76">
        <f t="shared" si="9"/>
        <v>0</v>
      </c>
    </row>
    <row r="225" spans="1:18">
      <c r="A225" s="70"/>
      <c r="B225" s="131" t="s">
        <v>1146</v>
      </c>
      <c r="C225" s="132"/>
      <c r="D225" s="133"/>
      <c r="E225" s="71"/>
      <c r="F225" s="72"/>
      <c r="G225" s="73"/>
      <c r="H225" s="72"/>
      <c r="I225" s="73"/>
      <c r="J225" s="74"/>
      <c r="K225" s="73"/>
      <c r="L225" s="74"/>
      <c r="M225" s="73"/>
      <c r="N225" s="74"/>
      <c r="O225" s="73"/>
      <c r="P225" s="74"/>
      <c r="Q225" s="75">
        <f t="shared" si="9"/>
        <v>0</v>
      </c>
      <c r="R225" s="76">
        <f t="shared" si="9"/>
        <v>0</v>
      </c>
    </row>
    <row r="226" spans="1:18">
      <c r="A226" s="70"/>
      <c r="B226" s="131" t="s">
        <v>1147</v>
      </c>
      <c r="C226" s="132"/>
      <c r="D226" s="133"/>
      <c r="E226" s="71"/>
      <c r="F226" s="72"/>
      <c r="G226" s="73"/>
      <c r="H226" s="72"/>
      <c r="I226" s="73"/>
      <c r="J226" s="74"/>
      <c r="K226" s="73"/>
      <c r="L226" s="74"/>
      <c r="M226" s="73"/>
      <c r="N226" s="74"/>
      <c r="O226" s="73"/>
      <c r="P226" s="74"/>
      <c r="Q226" s="75">
        <f t="shared" si="9"/>
        <v>0</v>
      </c>
      <c r="R226" s="76">
        <f t="shared" si="9"/>
        <v>0</v>
      </c>
    </row>
    <row r="227" spans="1:18">
      <c r="A227" s="70"/>
      <c r="B227" s="131" t="s">
        <v>1148</v>
      </c>
      <c r="C227" s="132"/>
      <c r="D227" s="133"/>
      <c r="E227" s="71"/>
      <c r="F227" s="72"/>
      <c r="G227" s="73"/>
      <c r="H227" s="72"/>
      <c r="I227" s="73"/>
      <c r="J227" s="74"/>
      <c r="K227" s="73"/>
      <c r="L227" s="74"/>
      <c r="M227" s="73"/>
      <c r="N227" s="74"/>
      <c r="O227" s="73"/>
      <c r="P227" s="74"/>
      <c r="Q227" s="75">
        <f t="shared" si="9"/>
        <v>0</v>
      </c>
      <c r="R227" s="76">
        <f t="shared" si="9"/>
        <v>0</v>
      </c>
    </row>
    <row r="228" spans="1:18">
      <c r="A228" s="70"/>
      <c r="B228" s="131" t="s">
        <v>1149</v>
      </c>
      <c r="C228" s="132"/>
      <c r="D228" s="133"/>
      <c r="E228" s="71"/>
      <c r="F228" s="72"/>
      <c r="G228" s="73"/>
      <c r="H228" s="72"/>
      <c r="I228" s="73"/>
      <c r="J228" s="74"/>
      <c r="K228" s="73"/>
      <c r="L228" s="74"/>
      <c r="M228" s="73"/>
      <c r="N228" s="74"/>
      <c r="O228" s="73"/>
      <c r="P228" s="74"/>
      <c r="Q228" s="75">
        <f t="shared" si="9"/>
        <v>0</v>
      </c>
      <c r="R228" s="76">
        <f t="shared" si="9"/>
        <v>0</v>
      </c>
    </row>
    <row r="229" spans="1:18">
      <c r="A229" s="70"/>
      <c r="B229" s="131" t="s">
        <v>1150</v>
      </c>
      <c r="C229" s="132"/>
      <c r="D229" s="133"/>
      <c r="E229" s="71"/>
      <c r="F229" s="72"/>
      <c r="G229" s="73"/>
      <c r="H229" s="72"/>
      <c r="I229" s="73"/>
      <c r="J229" s="74"/>
      <c r="K229" s="73"/>
      <c r="L229" s="74"/>
      <c r="M229" s="73"/>
      <c r="N229" s="74"/>
      <c r="O229" s="73"/>
      <c r="P229" s="74"/>
      <c r="Q229" s="75">
        <f t="shared" si="9"/>
        <v>0</v>
      </c>
      <c r="R229" s="76">
        <f t="shared" si="9"/>
        <v>0</v>
      </c>
    </row>
    <row r="230" spans="1:18" s="85" customFormat="1">
      <c r="A230" s="78"/>
      <c r="B230" s="137" t="s">
        <v>1151</v>
      </c>
      <c r="C230" s="138"/>
      <c r="D230" s="139"/>
      <c r="E230" s="79"/>
      <c r="F230" s="80"/>
      <c r="G230" s="81"/>
      <c r="H230" s="80"/>
      <c r="I230" s="81"/>
      <c r="J230" s="82"/>
      <c r="K230" s="81"/>
      <c r="L230" s="82"/>
      <c r="M230" s="81"/>
      <c r="N230" s="82"/>
      <c r="O230" s="81"/>
      <c r="P230" s="82"/>
      <c r="Q230" s="83">
        <f t="shared" si="9"/>
        <v>0</v>
      </c>
      <c r="R230" s="84">
        <f t="shared" si="9"/>
        <v>0</v>
      </c>
    </row>
    <row r="231" spans="1:18">
      <c r="A231" s="70" t="s">
        <v>137</v>
      </c>
      <c r="B231" s="131" t="s">
        <v>1152</v>
      </c>
      <c r="C231" s="132"/>
      <c r="D231" s="133"/>
      <c r="E231" s="71"/>
      <c r="F231" s="72"/>
      <c r="G231" s="73"/>
      <c r="H231" s="72"/>
      <c r="I231" s="73"/>
      <c r="J231" s="74"/>
      <c r="K231" s="73"/>
      <c r="L231" s="74"/>
      <c r="M231" s="73"/>
      <c r="N231" s="74"/>
      <c r="O231" s="73"/>
      <c r="P231" s="74"/>
      <c r="Q231" s="75">
        <f t="shared" si="9"/>
        <v>0</v>
      </c>
      <c r="R231" s="76">
        <f t="shared" si="9"/>
        <v>0</v>
      </c>
    </row>
    <row r="232" spans="1:18">
      <c r="A232" s="70" t="s">
        <v>137</v>
      </c>
      <c r="B232" s="131" t="s">
        <v>1153</v>
      </c>
      <c r="C232" s="132"/>
      <c r="D232" s="133"/>
      <c r="E232" s="71"/>
      <c r="F232" s="72"/>
      <c r="G232" s="73"/>
      <c r="H232" s="72"/>
      <c r="I232" s="73"/>
      <c r="J232" s="74"/>
      <c r="K232" s="73"/>
      <c r="L232" s="74"/>
      <c r="M232" s="73"/>
      <c r="N232" s="74"/>
      <c r="O232" s="73"/>
      <c r="P232" s="74"/>
      <c r="Q232" s="75">
        <f t="shared" si="9"/>
        <v>0</v>
      </c>
      <c r="R232" s="76">
        <f t="shared" si="9"/>
        <v>0</v>
      </c>
    </row>
    <row r="233" spans="1:18">
      <c r="A233" s="70" t="s">
        <v>137</v>
      </c>
      <c r="B233" s="131" t="s">
        <v>1154</v>
      </c>
      <c r="C233" s="132"/>
      <c r="D233" s="133"/>
      <c r="E233" s="71"/>
      <c r="F233" s="72"/>
      <c r="G233" s="73"/>
      <c r="H233" s="72"/>
      <c r="I233" s="73"/>
      <c r="J233" s="74"/>
      <c r="K233" s="73"/>
      <c r="L233" s="74"/>
      <c r="M233" s="73"/>
      <c r="N233" s="74"/>
      <c r="O233" s="73"/>
      <c r="P233" s="74"/>
      <c r="Q233" s="75">
        <f t="shared" si="9"/>
        <v>0</v>
      </c>
      <c r="R233" s="76">
        <f t="shared" si="9"/>
        <v>0</v>
      </c>
    </row>
    <row r="234" spans="1:18" s="85" customFormat="1">
      <c r="A234" s="78" t="s">
        <v>137</v>
      </c>
      <c r="B234" s="140" t="s">
        <v>1155</v>
      </c>
      <c r="C234" s="138"/>
      <c r="D234" s="139"/>
      <c r="E234" s="79"/>
      <c r="F234" s="80"/>
      <c r="G234" s="81"/>
      <c r="H234" s="80"/>
      <c r="I234" s="81"/>
      <c r="J234" s="82"/>
      <c r="K234" s="81"/>
      <c r="L234" s="82"/>
      <c r="M234" s="81"/>
      <c r="N234" s="82"/>
      <c r="O234" s="81"/>
      <c r="P234" s="82"/>
      <c r="Q234" s="83">
        <f t="shared" si="9"/>
        <v>0</v>
      </c>
      <c r="R234" s="84">
        <f t="shared" si="9"/>
        <v>0</v>
      </c>
    </row>
    <row r="235" spans="1:18" s="111" customFormat="1">
      <c r="A235" s="106"/>
      <c r="B235" s="131" t="s">
        <v>1156</v>
      </c>
      <c r="C235" s="132"/>
      <c r="D235" s="133"/>
      <c r="E235" s="107"/>
      <c r="F235" s="108"/>
      <c r="G235" s="109"/>
      <c r="H235" s="108"/>
      <c r="I235" s="109"/>
      <c r="J235" s="110"/>
      <c r="K235" s="109"/>
      <c r="L235" s="110"/>
      <c r="M235" s="109"/>
      <c r="N235" s="110"/>
      <c r="O235" s="109"/>
      <c r="P235" s="110"/>
      <c r="Q235" s="75">
        <f t="shared" si="9"/>
        <v>0</v>
      </c>
      <c r="R235" s="76">
        <f t="shared" si="9"/>
        <v>0</v>
      </c>
    </row>
    <row r="236" spans="1:18" s="111" customFormat="1">
      <c r="A236" s="106"/>
      <c r="B236" s="131" t="s">
        <v>1157</v>
      </c>
      <c r="C236" s="132"/>
      <c r="D236" s="133"/>
      <c r="E236" s="107"/>
      <c r="F236" s="108"/>
      <c r="G236" s="109"/>
      <c r="H236" s="108"/>
      <c r="I236" s="109"/>
      <c r="J236" s="110"/>
      <c r="K236" s="109"/>
      <c r="L236" s="110"/>
      <c r="M236" s="109"/>
      <c r="N236" s="110"/>
      <c r="O236" s="109"/>
      <c r="P236" s="110"/>
      <c r="Q236" s="75">
        <f t="shared" si="9"/>
        <v>0</v>
      </c>
      <c r="R236" s="76">
        <f t="shared" si="9"/>
        <v>0</v>
      </c>
    </row>
    <row r="237" spans="1:18" s="111" customFormat="1">
      <c r="A237" s="106"/>
      <c r="B237" s="131"/>
      <c r="C237" s="132"/>
      <c r="D237" s="133"/>
      <c r="E237" s="107"/>
      <c r="F237" s="108"/>
      <c r="G237" s="109"/>
      <c r="H237" s="108"/>
      <c r="I237" s="109"/>
      <c r="J237" s="110"/>
      <c r="K237" s="109"/>
      <c r="L237" s="110"/>
      <c r="M237" s="109"/>
      <c r="N237" s="110"/>
      <c r="O237" s="109"/>
      <c r="P237" s="110"/>
      <c r="Q237" s="75">
        <f t="shared" si="9"/>
        <v>0</v>
      </c>
      <c r="R237" s="76">
        <f t="shared" si="9"/>
        <v>0</v>
      </c>
    </row>
    <row r="238" spans="1:18">
      <c r="A238" s="70"/>
      <c r="B238" s="131" t="s">
        <v>1158</v>
      </c>
      <c r="C238" s="132"/>
      <c r="D238" s="133"/>
      <c r="E238" s="71"/>
      <c r="F238" s="72"/>
      <c r="G238" s="73"/>
      <c r="H238" s="72"/>
      <c r="I238" s="73"/>
      <c r="J238" s="74"/>
      <c r="K238" s="73"/>
      <c r="L238" s="74"/>
      <c r="M238" s="73"/>
      <c r="N238" s="74"/>
      <c r="O238" s="73"/>
      <c r="P238" s="74"/>
      <c r="Q238" s="75">
        <f>E238+G238+I238+K238+M238+O238</f>
        <v>0</v>
      </c>
      <c r="R238" s="76">
        <f>F238+H238+J238+L238+N238+P238</f>
        <v>0</v>
      </c>
    </row>
    <row r="239" spans="1:18">
      <c r="A239" s="70"/>
      <c r="B239" s="131" t="s">
        <v>1159</v>
      </c>
      <c r="C239" s="132"/>
      <c r="D239" s="133"/>
      <c r="E239" s="71"/>
      <c r="F239" s="72"/>
      <c r="G239" s="73"/>
      <c r="H239" s="72"/>
      <c r="I239" s="73"/>
      <c r="J239" s="74"/>
      <c r="K239" s="73"/>
      <c r="L239" s="74"/>
      <c r="M239" s="73"/>
      <c r="N239" s="74"/>
      <c r="O239" s="73"/>
      <c r="P239" s="74"/>
      <c r="Q239" s="75">
        <f>E239+G239+I239+K239+M239+O239</f>
        <v>0</v>
      </c>
      <c r="R239" s="76">
        <f>F239+H239+J239+L239+N239+P239</f>
        <v>0</v>
      </c>
    </row>
    <row r="240" spans="1:18" s="111" customFormat="1">
      <c r="A240" s="106"/>
      <c r="B240" s="131" t="s">
        <v>1160</v>
      </c>
      <c r="C240" s="132"/>
      <c r="D240" s="133"/>
      <c r="E240" s="107"/>
      <c r="F240" s="108"/>
      <c r="G240" s="109"/>
      <c r="H240" s="108"/>
      <c r="I240" s="109"/>
      <c r="J240" s="110"/>
      <c r="K240" s="109"/>
      <c r="L240" s="110"/>
      <c r="M240" s="109"/>
      <c r="N240" s="110"/>
      <c r="O240" s="109"/>
      <c r="P240" s="110"/>
      <c r="Q240" s="75">
        <f t="shared" si="9"/>
        <v>0</v>
      </c>
      <c r="R240" s="76">
        <f t="shared" si="9"/>
        <v>0</v>
      </c>
    </row>
    <row r="241" spans="1:18">
      <c r="A241" s="70"/>
      <c r="B241" s="131"/>
      <c r="C241" s="132"/>
      <c r="D241" s="133"/>
      <c r="E241" s="71"/>
      <c r="F241" s="72"/>
      <c r="G241" s="73"/>
      <c r="H241" s="72"/>
      <c r="I241" s="73"/>
      <c r="J241" s="74"/>
      <c r="K241" s="73"/>
      <c r="L241" s="74"/>
      <c r="M241" s="73"/>
      <c r="N241" s="74"/>
      <c r="O241" s="73"/>
      <c r="P241" s="74"/>
      <c r="Q241" s="75">
        <f>E241+G241+I241+K241+M241+O241</f>
        <v>0</v>
      </c>
      <c r="R241" s="76">
        <f>F241+H241+J241+L241+N241+P241</f>
        <v>0</v>
      </c>
    </row>
    <row r="242" spans="1:18">
      <c r="A242" s="70"/>
      <c r="B242" s="131" t="s">
        <v>1161</v>
      </c>
      <c r="C242" s="132"/>
      <c r="D242" s="133"/>
      <c r="E242" s="71"/>
      <c r="F242" s="72"/>
      <c r="G242" s="73"/>
      <c r="H242" s="72"/>
      <c r="I242" s="73"/>
      <c r="J242" s="74"/>
      <c r="K242" s="73"/>
      <c r="L242" s="74"/>
      <c r="M242" s="73"/>
      <c r="N242" s="74"/>
      <c r="O242" s="73"/>
      <c r="P242" s="74"/>
      <c r="Q242" s="75">
        <f t="shared" si="9"/>
        <v>0</v>
      </c>
      <c r="R242" s="76">
        <f t="shared" si="9"/>
        <v>0</v>
      </c>
    </row>
    <row r="243" spans="1:18">
      <c r="A243" s="70"/>
      <c r="B243" s="131" t="s">
        <v>1162</v>
      </c>
      <c r="C243" s="132"/>
      <c r="D243" s="133"/>
      <c r="E243" s="71"/>
      <c r="F243" s="72"/>
      <c r="G243" s="73"/>
      <c r="H243" s="72"/>
      <c r="I243" s="73"/>
      <c r="J243" s="74"/>
      <c r="K243" s="73"/>
      <c r="L243" s="74"/>
      <c r="M243" s="73"/>
      <c r="N243" s="74"/>
      <c r="O243" s="73"/>
      <c r="P243" s="74"/>
      <c r="Q243" s="75">
        <f t="shared" si="9"/>
        <v>0</v>
      </c>
      <c r="R243" s="76">
        <f t="shared" si="9"/>
        <v>0</v>
      </c>
    </row>
    <row r="244" spans="1:18">
      <c r="A244" s="70"/>
      <c r="B244" s="131" t="s">
        <v>1163</v>
      </c>
      <c r="C244" s="132"/>
      <c r="D244" s="133"/>
      <c r="E244" s="71"/>
      <c r="F244" s="72"/>
      <c r="G244" s="73"/>
      <c r="H244" s="72"/>
      <c r="I244" s="73"/>
      <c r="J244" s="74"/>
      <c r="K244" s="73"/>
      <c r="L244" s="74"/>
      <c r="M244" s="73"/>
      <c r="N244" s="74"/>
      <c r="O244" s="73"/>
      <c r="P244" s="74"/>
      <c r="Q244" s="75">
        <f>E244+G244+I244+K244+M244+O244</f>
        <v>0</v>
      </c>
      <c r="R244" s="76">
        <f>F244+H244+J244+L244+N244+P244</f>
        <v>0</v>
      </c>
    </row>
    <row r="245" spans="1:18">
      <c r="A245" s="70"/>
      <c r="B245" s="131" t="s">
        <v>1164</v>
      </c>
      <c r="C245" s="132"/>
      <c r="D245" s="133"/>
      <c r="E245" s="71"/>
      <c r="F245" s="72"/>
      <c r="G245" s="73"/>
      <c r="H245" s="72"/>
      <c r="I245" s="73"/>
      <c r="J245" s="74"/>
      <c r="K245" s="73"/>
      <c r="L245" s="74"/>
      <c r="M245" s="73"/>
      <c r="N245" s="74"/>
      <c r="O245" s="73"/>
      <c r="P245" s="74"/>
      <c r="Q245" s="75">
        <f t="shared" si="9"/>
        <v>0</v>
      </c>
      <c r="R245" s="76">
        <f t="shared" si="9"/>
        <v>0</v>
      </c>
    </row>
    <row r="246" spans="1:18">
      <c r="A246" s="70" t="s">
        <v>137</v>
      </c>
      <c r="B246" s="131" t="s">
        <v>1165</v>
      </c>
      <c r="C246" s="132"/>
      <c r="D246" s="133"/>
      <c r="E246" s="71"/>
      <c r="F246" s="72"/>
      <c r="G246" s="73"/>
      <c r="H246" s="72"/>
      <c r="I246" s="73"/>
      <c r="J246" s="74"/>
      <c r="K246" s="73"/>
      <c r="L246" s="74"/>
      <c r="M246" s="73"/>
      <c r="N246" s="74"/>
      <c r="O246" s="73"/>
      <c r="P246" s="74"/>
      <c r="Q246" s="75">
        <f t="shared" si="9"/>
        <v>0</v>
      </c>
      <c r="R246" s="76">
        <f t="shared" si="9"/>
        <v>0</v>
      </c>
    </row>
    <row r="247" spans="1:18">
      <c r="A247" s="70"/>
      <c r="B247" s="131" t="s">
        <v>1166</v>
      </c>
      <c r="C247" s="132"/>
      <c r="D247" s="133"/>
      <c r="E247" s="71"/>
      <c r="F247" s="72"/>
      <c r="G247" s="73"/>
      <c r="H247" s="72"/>
      <c r="I247" s="73"/>
      <c r="J247" s="74"/>
      <c r="K247" s="73"/>
      <c r="L247" s="74"/>
      <c r="M247" s="73"/>
      <c r="N247" s="74"/>
      <c r="O247" s="73"/>
      <c r="P247" s="74"/>
      <c r="Q247" s="75">
        <f t="shared" si="9"/>
        <v>0</v>
      </c>
      <c r="R247" s="76">
        <f t="shared" si="9"/>
        <v>0</v>
      </c>
    </row>
    <row r="248" spans="1:18">
      <c r="A248" s="70"/>
      <c r="B248" s="131" t="s">
        <v>1167</v>
      </c>
      <c r="C248" s="132"/>
      <c r="D248" s="133"/>
      <c r="E248" s="71"/>
      <c r="F248" s="72"/>
      <c r="G248" s="73"/>
      <c r="H248" s="72"/>
      <c r="I248" s="73"/>
      <c r="J248" s="74"/>
      <c r="K248" s="73"/>
      <c r="L248" s="74"/>
      <c r="M248" s="73"/>
      <c r="N248" s="74"/>
      <c r="O248" s="73"/>
      <c r="P248" s="74"/>
      <c r="Q248" s="75">
        <f t="shared" si="9"/>
        <v>0</v>
      </c>
      <c r="R248" s="76">
        <f t="shared" si="9"/>
        <v>0</v>
      </c>
    </row>
    <row r="249" spans="1:18">
      <c r="A249" s="70"/>
      <c r="B249" s="131" t="s">
        <v>1168</v>
      </c>
      <c r="C249" s="132"/>
      <c r="D249" s="133"/>
      <c r="E249" s="71"/>
      <c r="F249" s="72"/>
      <c r="G249" s="73"/>
      <c r="H249" s="72"/>
      <c r="I249" s="73"/>
      <c r="J249" s="74"/>
      <c r="K249" s="73"/>
      <c r="L249" s="74"/>
      <c r="M249" s="73"/>
      <c r="N249" s="74"/>
      <c r="O249" s="73"/>
      <c r="P249" s="74"/>
      <c r="Q249" s="75">
        <f t="shared" si="9"/>
        <v>0</v>
      </c>
      <c r="R249" s="76">
        <f t="shared" si="9"/>
        <v>0</v>
      </c>
    </row>
    <row r="250" spans="1:18">
      <c r="A250" s="70"/>
      <c r="B250" s="131" t="s">
        <v>1169</v>
      </c>
      <c r="C250" s="132"/>
      <c r="D250" s="133"/>
      <c r="E250" s="71"/>
      <c r="F250" s="72"/>
      <c r="G250" s="73"/>
      <c r="H250" s="72"/>
      <c r="I250" s="73"/>
      <c r="J250" s="74"/>
      <c r="K250" s="73"/>
      <c r="L250" s="74"/>
      <c r="M250" s="73"/>
      <c r="N250" s="74"/>
      <c r="O250" s="73"/>
      <c r="P250" s="74"/>
      <c r="Q250" s="75">
        <f t="shared" si="9"/>
        <v>0</v>
      </c>
      <c r="R250" s="76">
        <f t="shared" si="9"/>
        <v>0</v>
      </c>
    </row>
    <row r="251" spans="1:18">
      <c r="A251" s="70"/>
      <c r="B251" s="131"/>
      <c r="C251" s="132"/>
      <c r="D251" s="133"/>
      <c r="E251" s="71"/>
      <c r="F251" s="72"/>
      <c r="G251" s="73"/>
      <c r="H251" s="72"/>
      <c r="I251" s="73"/>
      <c r="J251" s="74"/>
      <c r="K251" s="73"/>
      <c r="L251" s="74"/>
      <c r="M251" s="73"/>
      <c r="N251" s="74"/>
      <c r="O251" s="73"/>
      <c r="P251" s="74"/>
      <c r="Q251" s="75">
        <f t="shared" si="9"/>
        <v>0</v>
      </c>
      <c r="R251" s="76">
        <f t="shared" si="9"/>
        <v>0</v>
      </c>
    </row>
    <row r="252" spans="1:18">
      <c r="A252" s="70"/>
      <c r="B252" s="131" t="s">
        <v>1170</v>
      </c>
      <c r="C252" s="132"/>
      <c r="D252" s="133"/>
      <c r="E252" s="71"/>
      <c r="F252" s="72"/>
      <c r="G252" s="73"/>
      <c r="H252" s="72"/>
      <c r="I252" s="73"/>
      <c r="J252" s="74"/>
      <c r="K252" s="73"/>
      <c r="L252" s="74"/>
      <c r="M252" s="73"/>
      <c r="N252" s="74"/>
      <c r="O252" s="73"/>
      <c r="P252" s="74"/>
      <c r="Q252" s="75">
        <f t="shared" si="9"/>
        <v>0</v>
      </c>
      <c r="R252" s="76">
        <f t="shared" si="9"/>
        <v>0</v>
      </c>
    </row>
    <row r="253" spans="1:18">
      <c r="A253" s="70"/>
      <c r="B253" s="131" t="s">
        <v>1171</v>
      </c>
      <c r="C253" s="132"/>
      <c r="D253" s="133"/>
      <c r="E253" s="71"/>
      <c r="F253" s="72"/>
      <c r="G253" s="73"/>
      <c r="H253" s="72"/>
      <c r="I253" s="73"/>
      <c r="J253" s="74"/>
      <c r="K253" s="73"/>
      <c r="L253" s="74"/>
      <c r="M253" s="73"/>
      <c r="N253" s="74"/>
      <c r="O253" s="73"/>
      <c r="P253" s="74"/>
      <c r="Q253" s="75">
        <f t="shared" si="9"/>
        <v>0</v>
      </c>
      <c r="R253" s="76">
        <f t="shared" si="9"/>
        <v>0</v>
      </c>
    </row>
    <row r="254" spans="1:18">
      <c r="A254" s="70"/>
      <c r="B254" s="131" t="s">
        <v>1172</v>
      </c>
      <c r="C254" s="132"/>
      <c r="D254" s="133"/>
      <c r="E254" s="71"/>
      <c r="F254" s="72"/>
      <c r="G254" s="73"/>
      <c r="H254" s="72"/>
      <c r="I254" s="73"/>
      <c r="J254" s="74"/>
      <c r="K254" s="73"/>
      <c r="L254" s="74"/>
      <c r="M254" s="73"/>
      <c r="N254" s="74"/>
      <c r="O254" s="73"/>
      <c r="P254" s="74"/>
      <c r="Q254" s="75">
        <f>E254+G254+I254+K254+M254+O254</f>
        <v>0</v>
      </c>
      <c r="R254" s="76">
        <f>F254+H254+J254+L254+N254+P254</f>
        <v>0</v>
      </c>
    </row>
    <row r="255" spans="1:18">
      <c r="A255" s="70"/>
      <c r="B255" s="131"/>
      <c r="C255" s="132"/>
      <c r="D255" s="133"/>
      <c r="E255" s="71"/>
      <c r="F255" s="72"/>
      <c r="G255" s="73"/>
      <c r="H255" s="72"/>
      <c r="I255" s="73"/>
      <c r="J255" s="74"/>
      <c r="K255" s="73"/>
      <c r="L255" s="74"/>
      <c r="M255" s="73"/>
      <c r="N255" s="74"/>
      <c r="O255" s="73"/>
      <c r="P255" s="74"/>
      <c r="Q255" s="75">
        <f t="shared" ref="Q255:R256" si="10">E255+G255+I255+K255+M255+O255</f>
        <v>0</v>
      </c>
      <c r="R255" s="76">
        <f t="shared" si="10"/>
        <v>0</v>
      </c>
    </row>
    <row r="256" spans="1:18">
      <c r="A256" s="70"/>
      <c r="B256" s="131"/>
      <c r="C256" s="132"/>
      <c r="D256" s="133"/>
      <c r="E256" s="71"/>
      <c r="F256" s="72"/>
      <c r="G256" s="73"/>
      <c r="H256" s="72"/>
      <c r="I256" s="73"/>
      <c r="J256" s="74"/>
      <c r="K256" s="73"/>
      <c r="L256" s="74"/>
      <c r="M256" s="73"/>
      <c r="N256" s="74"/>
      <c r="O256" s="73"/>
      <c r="P256" s="74"/>
      <c r="Q256" s="75">
        <f t="shared" si="10"/>
        <v>0</v>
      </c>
      <c r="R256" s="76">
        <f t="shared" si="10"/>
        <v>0</v>
      </c>
    </row>
    <row r="257" spans="1:18" ht="18.600000000000001" thickBot="1">
      <c r="A257" s="70" t="s">
        <v>137</v>
      </c>
      <c r="B257" s="134"/>
      <c r="C257" s="135"/>
      <c r="D257" s="136"/>
      <c r="E257" s="98"/>
      <c r="F257" s="99"/>
      <c r="G257" s="100"/>
      <c r="H257" s="99"/>
      <c r="I257" s="100"/>
      <c r="J257" s="101"/>
      <c r="K257" s="100"/>
      <c r="L257" s="101"/>
      <c r="M257" s="100"/>
      <c r="N257" s="101"/>
      <c r="O257" s="100"/>
      <c r="P257" s="101"/>
      <c r="Q257" s="100"/>
      <c r="R257" s="102"/>
    </row>
    <row r="258" spans="1:18" ht="18.600000000000001" thickTop="1"/>
  </sheetData>
  <mergeCells count="291">
    <mergeCell ref="A2:A3"/>
    <mergeCell ref="B2:D3"/>
    <mergeCell ref="E2:F2"/>
    <mergeCell ref="G2:H2"/>
    <mergeCell ref="I2:J2"/>
    <mergeCell ref="K2:L2"/>
    <mergeCell ref="B7:D7"/>
    <mergeCell ref="B8:D8"/>
    <mergeCell ref="B9:D9"/>
    <mergeCell ref="B10:D10"/>
    <mergeCell ref="B11:D11"/>
    <mergeCell ref="B12:D12"/>
    <mergeCell ref="M2:N2"/>
    <mergeCell ref="O2:P2"/>
    <mergeCell ref="Q2:R2"/>
    <mergeCell ref="B4:D4"/>
    <mergeCell ref="B5:D5"/>
    <mergeCell ref="B6:D6"/>
    <mergeCell ref="B19:D19"/>
    <mergeCell ref="B20:D20"/>
    <mergeCell ref="B21:D21"/>
    <mergeCell ref="B22:D22"/>
    <mergeCell ref="B23:D23"/>
    <mergeCell ref="B24:D24"/>
    <mergeCell ref="B13:D13"/>
    <mergeCell ref="B14:D14"/>
    <mergeCell ref="B15:D15"/>
    <mergeCell ref="B16:D16"/>
    <mergeCell ref="B17:D17"/>
    <mergeCell ref="B18:D18"/>
    <mergeCell ref="B31:D31"/>
    <mergeCell ref="B32:D32"/>
    <mergeCell ref="B33:D33"/>
    <mergeCell ref="B34:D34"/>
    <mergeCell ref="B35:D35"/>
    <mergeCell ref="B36:D36"/>
    <mergeCell ref="B25:D25"/>
    <mergeCell ref="B26:D26"/>
    <mergeCell ref="B27:D27"/>
    <mergeCell ref="B28:D28"/>
    <mergeCell ref="B29:D29"/>
    <mergeCell ref="B30:D30"/>
    <mergeCell ref="A43:A44"/>
    <mergeCell ref="B43:D44"/>
    <mergeCell ref="E43:F43"/>
    <mergeCell ref="G43:H43"/>
    <mergeCell ref="I43:J43"/>
    <mergeCell ref="K43:L43"/>
    <mergeCell ref="B37:D37"/>
    <mergeCell ref="B38:D38"/>
    <mergeCell ref="B39:D39"/>
    <mergeCell ref="B40:D40"/>
    <mergeCell ref="B41:D41"/>
    <mergeCell ref="L42:M42"/>
    <mergeCell ref="B48:D48"/>
    <mergeCell ref="B49:D49"/>
    <mergeCell ref="B50:D50"/>
    <mergeCell ref="B51:D51"/>
    <mergeCell ref="B52:D52"/>
    <mergeCell ref="B53:D53"/>
    <mergeCell ref="M43:N43"/>
    <mergeCell ref="O43:P43"/>
    <mergeCell ref="Q43:R43"/>
    <mergeCell ref="B45:D45"/>
    <mergeCell ref="B46:D46"/>
    <mergeCell ref="B47:D47"/>
    <mergeCell ref="B60:D60"/>
    <mergeCell ref="B61:D61"/>
    <mergeCell ref="B62:D62"/>
    <mergeCell ref="B63:D63"/>
    <mergeCell ref="B64:D64"/>
    <mergeCell ref="B65:D65"/>
    <mergeCell ref="B54:D54"/>
    <mergeCell ref="B55:D55"/>
    <mergeCell ref="B56:D56"/>
    <mergeCell ref="B57:D57"/>
    <mergeCell ref="B58:D58"/>
    <mergeCell ref="B59:D59"/>
    <mergeCell ref="B72:D72"/>
    <mergeCell ref="B73:D73"/>
    <mergeCell ref="B74:D74"/>
    <mergeCell ref="B75:D75"/>
    <mergeCell ref="B76:D76"/>
    <mergeCell ref="B77:D77"/>
    <mergeCell ref="B66:D66"/>
    <mergeCell ref="B67:D67"/>
    <mergeCell ref="B68:D68"/>
    <mergeCell ref="B69:D69"/>
    <mergeCell ref="B70:D70"/>
    <mergeCell ref="B71:D71"/>
    <mergeCell ref="A88:A89"/>
    <mergeCell ref="B88:D89"/>
    <mergeCell ref="E88:F88"/>
    <mergeCell ref="G88:H88"/>
    <mergeCell ref="I88:J88"/>
    <mergeCell ref="K88:L88"/>
    <mergeCell ref="B78:D78"/>
    <mergeCell ref="B79:D79"/>
    <mergeCell ref="B80:D80"/>
    <mergeCell ref="B81:D81"/>
    <mergeCell ref="B82:D82"/>
    <mergeCell ref="B83:D83"/>
    <mergeCell ref="M88:N88"/>
    <mergeCell ref="O88:P88"/>
    <mergeCell ref="Q88:R88"/>
    <mergeCell ref="B90:D90"/>
    <mergeCell ref="B91:D91"/>
    <mergeCell ref="B92:D92"/>
    <mergeCell ref="B84:D84"/>
    <mergeCell ref="B85:D85"/>
    <mergeCell ref="B86:D86"/>
    <mergeCell ref="L87:M87"/>
    <mergeCell ref="B99:D99"/>
    <mergeCell ref="B100:D100"/>
    <mergeCell ref="B101:D101"/>
    <mergeCell ref="B102:D102"/>
    <mergeCell ref="B103:D103"/>
    <mergeCell ref="B104:D104"/>
    <mergeCell ref="B93:D93"/>
    <mergeCell ref="B94:D94"/>
    <mergeCell ref="B95:D95"/>
    <mergeCell ref="B96:D96"/>
    <mergeCell ref="B97:D97"/>
    <mergeCell ref="B98:D98"/>
    <mergeCell ref="B111:D111"/>
    <mergeCell ref="B112:D112"/>
    <mergeCell ref="B113:D113"/>
    <mergeCell ref="B114:D114"/>
    <mergeCell ref="B115:D115"/>
    <mergeCell ref="B116:D116"/>
    <mergeCell ref="B105:D105"/>
    <mergeCell ref="B106:D106"/>
    <mergeCell ref="B107:D107"/>
    <mergeCell ref="B108:D108"/>
    <mergeCell ref="B109:D109"/>
    <mergeCell ref="B110:D110"/>
    <mergeCell ref="B123:D123"/>
    <mergeCell ref="B124:D124"/>
    <mergeCell ref="B125:D125"/>
    <mergeCell ref="B126:D126"/>
    <mergeCell ref="B127:D127"/>
    <mergeCell ref="B128:D128"/>
    <mergeCell ref="B117:D117"/>
    <mergeCell ref="B118:D118"/>
    <mergeCell ref="B119:D119"/>
    <mergeCell ref="B120:D120"/>
    <mergeCell ref="B121:D121"/>
    <mergeCell ref="B122:D122"/>
    <mergeCell ref="L135:M135"/>
    <mergeCell ref="A136:A137"/>
    <mergeCell ref="B136:D137"/>
    <mergeCell ref="E136:F136"/>
    <mergeCell ref="G136:H136"/>
    <mergeCell ref="I136:J136"/>
    <mergeCell ref="K136:L136"/>
    <mergeCell ref="M136:N136"/>
    <mergeCell ref="B129:D129"/>
    <mergeCell ref="B130:D130"/>
    <mergeCell ref="B131:D131"/>
    <mergeCell ref="B132:D132"/>
    <mergeCell ref="B133:D133"/>
    <mergeCell ref="B134:D134"/>
    <mergeCell ref="B142:D142"/>
    <mergeCell ref="B143:D143"/>
    <mergeCell ref="B144:D144"/>
    <mergeCell ref="B145:D145"/>
    <mergeCell ref="B146:D146"/>
    <mergeCell ref="B147:D147"/>
    <mergeCell ref="O136:P136"/>
    <mergeCell ref="Q136:R136"/>
    <mergeCell ref="B138:D138"/>
    <mergeCell ref="B139:D139"/>
    <mergeCell ref="B140:D140"/>
    <mergeCell ref="B141:D141"/>
    <mergeCell ref="B154:D154"/>
    <mergeCell ref="B155:D155"/>
    <mergeCell ref="B156:D156"/>
    <mergeCell ref="B157:D157"/>
    <mergeCell ref="B158:D158"/>
    <mergeCell ref="B159:D159"/>
    <mergeCell ref="B148:D148"/>
    <mergeCell ref="B149:D149"/>
    <mergeCell ref="B150:D150"/>
    <mergeCell ref="B151:D151"/>
    <mergeCell ref="B152:D152"/>
    <mergeCell ref="B153:D153"/>
    <mergeCell ref="B166:D166"/>
    <mergeCell ref="B167:D167"/>
    <mergeCell ref="B168:D168"/>
    <mergeCell ref="B169:D169"/>
    <mergeCell ref="B170:D170"/>
    <mergeCell ref="B171:D171"/>
    <mergeCell ref="B160:D160"/>
    <mergeCell ref="B161:D161"/>
    <mergeCell ref="B162:D162"/>
    <mergeCell ref="B163:D163"/>
    <mergeCell ref="B164:D164"/>
    <mergeCell ref="B165:D165"/>
    <mergeCell ref="Q177:R177"/>
    <mergeCell ref="B179:D179"/>
    <mergeCell ref="B180:D180"/>
    <mergeCell ref="B172:D172"/>
    <mergeCell ref="B173:D173"/>
    <mergeCell ref="B174:D174"/>
    <mergeCell ref="B175:D175"/>
    <mergeCell ref="L176:M176"/>
    <mergeCell ref="A177:A178"/>
    <mergeCell ref="B177:D178"/>
    <mergeCell ref="E177:F177"/>
    <mergeCell ref="G177:H177"/>
    <mergeCell ref="I177:J177"/>
    <mergeCell ref="B181:D181"/>
    <mergeCell ref="B182:D182"/>
    <mergeCell ref="B183:D183"/>
    <mergeCell ref="B184:D184"/>
    <mergeCell ref="B185:D185"/>
    <mergeCell ref="B186:D186"/>
    <mergeCell ref="K177:L177"/>
    <mergeCell ref="M177:N177"/>
    <mergeCell ref="O177:P177"/>
    <mergeCell ref="B193:D193"/>
    <mergeCell ref="B194:D194"/>
    <mergeCell ref="B195:D195"/>
    <mergeCell ref="B196:D196"/>
    <mergeCell ref="B197:D197"/>
    <mergeCell ref="B198:D198"/>
    <mergeCell ref="B187:D187"/>
    <mergeCell ref="B188:D188"/>
    <mergeCell ref="B189:D189"/>
    <mergeCell ref="B190:D190"/>
    <mergeCell ref="B191:D191"/>
    <mergeCell ref="B192:D192"/>
    <mergeCell ref="B205:D205"/>
    <mergeCell ref="B206:D206"/>
    <mergeCell ref="B207:D207"/>
    <mergeCell ref="B208:D208"/>
    <mergeCell ref="B209:D209"/>
    <mergeCell ref="B210:D210"/>
    <mergeCell ref="B199:D199"/>
    <mergeCell ref="B200:D200"/>
    <mergeCell ref="B201:D201"/>
    <mergeCell ref="B202:D202"/>
    <mergeCell ref="B203:D203"/>
    <mergeCell ref="B204:D204"/>
    <mergeCell ref="B217:D217"/>
    <mergeCell ref="B218:D218"/>
    <mergeCell ref="B219:D219"/>
    <mergeCell ref="B220:D220"/>
    <mergeCell ref="B221:D221"/>
    <mergeCell ref="B222:D222"/>
    <mergeCell ref="B211:D211"/>
    <mergeCell ref="B212:D212"/>
    <mergeCell ref="B213:D213"/>
    <mergeCell ref="B214:D214"/>
    <mergeCell ref="B215:D215"/>
    <mergeCell ref="B216:D216"/>
    <mergeCell ref="B229:D229"/>
    <mergeCell ref="B230:D230"/>
    <mergeCell ref="B231:D231"/>
    <mergeCell ref="B232:D232"/>
    <mergeCell ref="B233:D233"/>
    <mergeCell ref="B234:D234"/>
    <mergeCell ref="B223:D223"/>
    <mergeCell ref="B224:D224"/>
    <mergeCell ref="B225:D225"/>
    <mergeCell ref="B226:D226"/>
    <mergeCell ref="B227:D227"/>
    <mergeCell ref="B228:D228"/>
    <mergeCell ref="B241:D241"/>
    <mergeCell ref="B242:D242"/>
    <mergeCell ref="B243:D243"/>
    <mergeCell ref="B244:D244"/>
    <mergeCell ref="B245:D245"/>
    <mergeCell ref="B246:D246"/>
    <mergeCell ref="B235:D235"/>
    <mergeCell ref="B236:D236"/>
    <mergeCell ref="B237:D237"/>
    <mergeCell ref="B238:D238"/>
    <mergeCell ref="B239:D239"/>
    <mergeCell ref="B240:D240"/>
    <mergeCell ref="B253:D253"/>
    <mergeCell ref="B254:D254"/>
    <mergeCell ref="B255:D255"/>
    <mergeCell ref="B256:D256"/>
    <mergeCell ref="B257:D257"/>
    <mergeCell ref="B247:D247"/>
    <mergeCell ref="B248:D248"/>
    <mergeCell ref="B249:D249"/>
    <mergeCell ref="B250:D250"/>
    <mergeCell ref="B251:D251"/>
    <mergeCell ref="B252:D252"/>
  </mergeCells>
  <phoneticPr fontId="2"/>
  <pageMargins left="0.70866141732283472" right="0.70866141732283472" top="0.74803149606299213" bottom="0.74803149606299213" header="0.31496062992125984" footer="0.31496062992125984"/>
  <pageSetup paperSize="9" scale="84" fitToHeight="0" orientation="landscape" r:id="rId1"/>
  <rowBreaks count="5" manualBreakCount="5">
    <brk id="34" max="15" man="1"/>
    <brk id="41" max="15" man="1"/>
    <brk id="86" max="15" man="1"/>
    <brk id="134" max="15" man="1"/>
    <brk id="175" max="15" man="1"/>
  </rowBreaks>
  <drawing r:id="rId2"/>
  <legacyDrawing r:id="rId3"/>
  <controls>
    <mc:AlternateContent xmlns:mc="http://schemas.openxmlformats.org/markup-compatibility/2006">
      <mc:Choice Requires="x14">
        <control shapeId="26625" r:id="rId4" name="CommandButton1">
          <controlPr defaultSize="0" autoLine="0" r:id="rId5">
            <anchor moveWithCells="1">
              <from>
                <xdr:col>0</xdr:col>
                <xdr:colOff>30480</xdr:colOff>
                <xdr:row>0</xdr:row>
                <xdr:rowOff>15240</xdr:rowOff>
              </from>
              <to>
                <xdr:col>1</xdr:col>
                <xdr:colOff>15240</xdr:colOff>
                <xdr:row>0</xdr:row>
                <xdr:rowOff>335280</xdr:rowOff>
              </to>
            </anchor>
          </controlPr>
        </control>
      </mc:Choice>
      <mc:Fallback>
        <control shapeId="26625" r:id="rId4" name="CommandButton1"/>
      </mc:Fallback>
    </mc:AlternateContent>
    <mc:AlternateContent xmlns:mc="http://schemas.openxmlformats.org/markup-compatibility/2006">
      <mc:Choice Requires="x14">
        <control shapeId="26626" r:id="rId6" name="CommandButton2">
          <controlPr defaultSize="0" autoLine="0" r:id="rId7">
            <anchor moveWithCells="1">
              <from>
                <xdr:col>1</xdr:col>
                <xdr:colOff>15240</xdr:colOff>
                <xdr:row>0</xdr:row>
                <xdr:rowOff>15240</xdr:rowOff>
              </from>
              <to>
                <xdr:col>1</xdr:col>
                <xdr:colOff>647700</xdr:colOff>
                <xdr:row>0</xdr:row>
                <xdr:rowOff>335280</xdr:rowOff>
              </to>
            </anchor>
          </controlPr>
        </control>
      </mc:Choice>
      <mc:Fallback>
        <control shapeId="26626"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E17D8-E970-46F9-BE03-BD97DDCC91A0}">
  <sheetPr codeName="Sheet11"/>
  <dimension ref="B2:G6"/>
  <sheetViews>
    <sheetView showGridLines="0" tabSelected="1" workbookViewId="0">
      <selection activeCell="H16" sqref="H16"/>
    </sheetView>
  </sheetViews>
  <sheetFormatPr defaultRowHeight="17.399999999999999"/>
  <cols>
    <col min="1" max="1" width="2.69921875" style="42" customWidth="1"/>
    <col min="2" max="2" width="35.69921875" style="42" customWidth="1"/>
    <col min="3" max="3" width="15.69921875" style="42" customWidth="1"/>
    <col min="4" max="4" width="12.69921875" style="42" customWidth="1"/>
    <col min="5" max="5" width="30.69921875" style="42" customWidth="1"/>
    <col min="6" max="7" width="8.796875" style="42" hidden="1" customWidth="1"/>
    <col min="8" max="16384" width="8.796875" style="42"/>
  </cols>
  <sheetData>
    <row r="2" spans="2:7" ht="21.6">
      <c r="B2" s="174" t="s">
        <v>1072</v>
      </c>
      <c r="C2" s="175"/>
      <c r="D2" s="175"/>
    </row>
    <row r="3" spans="2:7">
      <c r="B3" s="46" t="s">
        <v>1075</v>
      </c>
      <c r="C3" s="176" t="s">
        <v>3</v>
      </c>
      <c r="D3" s="176"/>
      <c r="E3" s="47"/>
      <c r="F3" s="42" t="b">
        <v>0</v>
      </c>
    </row>
    <row r="4" spans="2:7">
      <c r="B4" s="47"/>
      <c r="C4" s="47"/>
      <c r="D4" s="47"/>
      <c r="E4" s="47"/>
    </row>
    <row r="5" spans="2:7">
      <c r="B5" s="48" t="s">
        <v>1073</v>
      </c>
      <c r="C5" s="49" t="s">
        <v>1076</v>
      </c>
      <c r="D5" s="49" t="s">
        <v>1074</v>
      </c>
      <c r="E5" s="50" t="s">
        <v>1071</v>
      </c>
      <c r="F5" s="49" t="s">
        <v>1117</v>
      </c>
      <c r="G5" s="49" t="s">
        <v>1339</v>
      </c>
    </row>
    <row r="6" spans="2:7">
      <c r="B6" s="52"/>
      <c r="C6" s="53"/>
      <c r="D6" s="53"/>
      <c r="E6" s="54"/>
      <c r="F6" s="54"/>
      <c r="G6" s="54"/>
    </row>
  </sheetData>
  <mergeCells count="2">
    <mergeCell ref="B2:D2"/>
    <mergeCell ref="C3:D3"/>
  </mergeCells>
  <phoneticPr fontId="2"/>
  <dataValidations count="3">
    <dataValidation type="list" allowBlank="1" showInputMessage="1" showErrorMessage="1" sqref="C3:D3" xr:uid="{1EEA872B-FB27-4153-8287-49127AEB1CA0}">
      <formula1>INDIRECT("担当DB[担当者]")</formula1>
    </dataValidation>
    <dataValidation type="list" allowBlank="1" showInputMessage="1" showErrorMessage="1" sqref="C6" xr:uid="{BDFA1B6A-CA4C-4716-A93B-4D97FCE1D1CB}">
      <formula1>"前半,後半"</formula1>
    </dataValidation>
    <dataValidation type="list" allowBlank="1" showInputMessage="1" showErrorMessage="1" sqref="B6" xr:uid="{57DC8659-41F5-4DF8-A43F-0042F12EE8C5}">
      <formula1>INDIRECT("製品DB[製品名]")</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一括入力フォームから転写する">
                <anchor>
                  <from>
                    <xdr:col>7</xdr:col>
                    <xdr:colOff>411480</xdr:colOff>
                    <xdr:row>1</xdr:row>
                    <xdr:rowOff>144780</xdr:rowOff>
                  </from>
                  <to>
                    <xdr:col>10</xdr:col>
                    <xdr:colOff>45720</xdr:colOff>
                    <xdr:row>3</xdr:row>
                    <xdr:rowOff>137160</xdr:rowOff>
                  </to>
                </anchor>
              </controlPr>
            </control>
          </mc:Choice>
        </mc:AlternateContent>
        <mc:AlternateContent xmlns:mc="http://schemas.openxmlformats.org/markup-compatibility/2006">
          <mc:Choice Requires="x14">
            <control shapeId="13317" r:id="rId5" name="Button 5">
              <controlPr defaultSize="0" print="0" autoFill="0" autoPict="0" macro="[0]!製品なし行を再転写する">
                <anchor>
                  <from>
                    <xdr:col>7</xdr:col>
                    <xdr:colOff>403860</xdr:colOff>
                    <xdr:row>4</xdr:row>
                    <xdr:rowOff>15240</xdr:rowOff>
                  </from>
                  <to>
                    <xdr:col>10</xdr:col>
                    <xdr:colOff>53340</xdr:colOff>
                    <xdr:row>6</xdr:row>
                    <xdr:rowOff>76200</xdr:rowOff>
                  </to>
                </anchor>
              </controlPr>
            </control>
          </mc:Choice>
        </mc:AlternateContent>
        <mc:AlternateContent xmlns:mc="http://schemas.openxmlformats.org/markup-compatibility/2006">
          <mc:Choice Requires="x14">
            <control shapeId="13326" r:id="rId6" name="Check Box 14">
              <controlPr defaultSize="0" autoFill="0" autoLine="0" autoPict="0">
                <anchor>
                  <from>
                    <xdr:col>4</xdr:col>
                    <xdr:colOff>335280</xdr:colOff>
                    <xdr:row>1</xdr:row>
                    <xdr:rowOff>259080</xdr:rowOff>
                  </from>
                  <to>
                    <xdr:col>4</xdr:col>
                    <xdr:colOff>586740</xdr:colOff>
                    <xdr:row>3</xdr:row>
                    <xdr:rowOff>22860</xdr:rowOff>
                  </to>
                </anchor>
              </controlPr>
            </control>
          </mc:Choice>
        </mc:AlternateContent>
        <mc:AlternateContent xmlns:mc="http://schemas.openxmlformats.org/markup-compatibility/2006">
          <mc:Choice Requires="x14">
            <control shapeId="13327" r:id="rId7" name="Button 15">
              <controlPr defaultSize="0" print="0" autoFill="0" autoPict="0" macro="[0]!見積書から取り込む">
                <anchor>
                  <from>
                    <xdr:col>7</xdr:col>
                    <xdr:colOff>403860</xdr:colOff>
                    <xdr:row>6</xdr:row>
                    <xdr:rowOff>175260</xdr:rowOff>
                  </from>
                  <to>
                    <xdr:col>10</xdr:col>
                    <xdr:colOff>53340</xdr:colOff>
                    <xdr:row>9</xdr:row>
                    <xdr:rowOff>0</xdr:rowOff>
                  </to>
                </anchor>
              </controlPr>
            </control>
          </mc:Choice>
        </mc:AlternateContent>
        <mc:AlternateContent xmlns:mc="http://schemas.openxmlformats.org/markup-compatibility/2006">
          <mc:Choice Requires="x14">
            <control shapeId="13330" r:id="rId8" name="Button 18">
              <controlPr defaultSize="0" print="0" autoFill="0" autoPict="0" macro="[0]!担当者データ抽出">
                <anchor>
                  <from>
                    <xdr:col>7</xdr:col>
                    <xdr:colOff>403860</xdr:colOff>
                    <xdr:row>9</xdr:row>
                    <xdr:rowOff>91440</xdr:rowOff>
                  </from>
                  <to>
                    <xdr:col>10</xdr:col>
                    <xdr:colOff>60960</xdr:colOff>
                    <xdr:row>11</xdr:row>
                    <xdr:rowOff>152400</xdr:rowOff>
                  </to>
                </anchor>
              </controlPr>
            </control>
          </mc:Choice>
        </mc:AlternateContent>
        <mc:AlternateContent xmlns:mc="http://schemas.openxmlformats.org/markup-compatibility/2006">
          <mc:Choice Requires="x14">
            <control shapeId="13342" r:id="rId9" name="Button 30">
              <controlPr defaultSize="0" print="0" autoFill="0" autoPict="0" macro="[0]!入力フォームをクリアする">
                <anchor>
                  <from>
                    <xdr:col>7</xdr:col>
                    <xdr:colOff>396240</xdr:colOff>
                    <xdr:row>12</xdr:row>
                    <xdr:rowOff>7620</xdr:rowOff>
                  </from>
                  <to>
                    <xdr:col>10</xdr:col>
                    <xdr:colOff>53340</xdr:colOff>
                    <xdr:row>14</xdr:row>
                    <xdr:rowOff>68580</xdr:rowOff>
                  </to>
                </anchor>
              </controlPr>
            </control>
          </mc:Choice>
        </mc:AlternateContent>
      </controls>
    </mc:Choice>
  </mc:AlternateContent>
  <tableParts count="1">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C2E76-D954-499A-97DD-2ACDA610CEB6}">
  <sheetPr codeName="Sheet3">
    <tabColor theme="5" tint="0.59999389629810485"/>
  </sheetPr>
  <dimension ref="B2:AD360"/>
  <sheetViews>
    <sheetView view="pageBreakPreview" zoomScaleNormal="70" zoomScaleSheetLayoutView="100" workbookViewId="0">
      <selection activeCell="V226" sqref="V226:AD227"/>
    </sheetView>
  </sheetViews>
  <sheetFormatPr defaultColWidth="8.19921875" defaultRowHeight="13.2"/>
  <cols>
    <col min="1" max="31" width="3.09765625" style="22" customWidth="1"/>
    <col min="32" max="16384" width="8.19921875" style="22"/>
  </cols>
  <sheetData>
    <row r="2" spans="2:30" ht="21.6" customHeight="1" thickBot="1">
      <c r="C2" s="193" t="s">
        <v>137</v>
      </c>
      <c r="D2" s="193"/>
      <c r="E2" s="193"/>
      <c r="F2" s="40" t="s">
        <v>499</v>
      </c>
      <c r="G2" s="40"/>
      <c r="H2" s="40"/>
      <c r="I2" s="40"/>
      <c r="J2" s="40"/>
      <c r="K2" s="40"/>
      <c r="L2" s="40"/>
      <c r="M2" s="40"/>
      <c r="N2" s="40"/>
      <c r="O2" s="40"/>
      <c r="P2" s="40"/>
      <c r="Q2" s="40"/>
      <c r="R2" s="40"/>
      <c r="S2" s="40"/>
      <c r="T2" s="40"/>
      <c r="U2" s="40"/>
      <c r="V2" s="40"/>
      <c r="W2" s="40"/>
      <c r="X2" s="40"/>
      <c r="Y2" s="40"/>
      <c r="Z2" s="40"/>
      <c r="AA2" s="40"/>
      <c r="AB2" s="40"/>
    </row>
    <row r="3" spans="2:30" ht="13.8" thickTop="1">
      <c r="AC3" s="181" t="s">
        <v>416</v>
      </c>
      <c r="AD3" s="181"/>
    </row>
    <row r="4" spans="2:30">
      <c r="B4" s="194">
        <v>46133</v>
      </c>
      <c r="C4" s="194"/>
      <c r="D4" s="194"/>
      <c r="E4" s="194"/>
      <c r="F4" s="194"/>
      <c r="G4" s="194"/>
      <c r="H4" s="194"/>
      <c r="I4" s="194"/>
      <c r="J4" s="194"/>
      <c r="K4" s="194"/>
      <c r="L4" s="194"/>
      <c r="M4" s="194"/>
      <c r="N4" s="194"/>
      <c r="O4" s="194"/>
      <c r="P4" s="194"/>
      <c r="R4" s="41"/>
      <c r="S4" s="41"/>
      <c r="T4" s="14"/>
      <c r="U4" s="13"/>
      <c r="V4" s="13"/>
      <c r="W4" s="184" t="s">
        <v>498</v>
      </c>
      <c r="X4" s="184"/>
      <c r="Y4" s="184"/>
      <c r="Z4" s="184"/>
      <c r="AA4" s="184"/>
      <c r="AB4" s="184"/>
      <c r="AC4" s="184"/>
      <c r="AD4" s="184"/>
    </row>
    <row r="5" spans="2:30">
      <c r="B5" s="194"/>
      <c r="C5" s="194"/>
      <c r="D5" s="194"/>
      <c r="E5" s="194"/>
      <c r="F5" s="194"/>
      <c r="G5" s="194"/>
      <c r="H5" s="194"/>
      <c r="I5" s="194"/>
      <c r="J5" s="194"/>
      <c r="K5" s="194"/>
      <c r="L5" s="194"/>
      <c r="M5" s="194"/>
      <c r="N5" s="194"/>
      <c r="O5" s="194"/>
      <c r="P5" s="194"/>
      <c r="R5" s="41"/>
      <c r="S5" s="41"/>
      <c r="T5" s="13"/>
      <c r="U5" s="13"/>
      <c r="V5" s="13"/>
      <c r="W5" s="184"/>
      <c r="X5" s="184"/>
      <c r="Y5" s="184"/>
      <c r="Z5" s="184"/>
      <c r="AA5" s="184"/>
      <c r="AB5" s="184"/>
      <c r="AC5" s="184"/>
      <c r="AD5" s="184"/>
    </row>
    <row r="6" spans="2:30" ht="13.2" customHeight="1">
      <c r="B6" s="195" t="s">
        <v>584</v>
      </c>
      <c r="C6" s="196"/>
      <c r="D6" s="196"/>
      <c r="E6" s="196"/>
      <c r="F6" s="196"/>
      <c r="G6" s="196"/>
      <c r="H6" s="197"/>
      <c r="I6" s="219" t="s">
        <v>410</v>
      </c>
      <c r="J6" s="220" t="e" vm="1">
        <v>#VALUE!</v>
      </c>
      <c r="K6" s="220"/>
      <c r="L6" s="220"/>
      <c r="M6" s="219" t="s">
        <v>409</v>
      </c>
      <c r="N6" s="184"/>
      <c r="O6" s="184"/>
      <c r="P6" s="184"/>
      <c r="W6" s="219" t="s">
        <v>410</v>
      </c>
      <c r="X6" s="184"/>
      <c r="Y6" s="184"/>
      <c r="Z6" s="184"/>
      <c r="AA6" s="219" t="s">
        <v>409</v>
      </c>
      <c r="AB6" s="184"/>
      <c r="AC6" s="184"/>
      <c r="AD6" s="184"/>
    </row>
    <row r="7" spans="2:30">
      <c r="B7" s="198"/>
      <c r="C7" s="199"/>
      <c r="D7" s="199"/>
      <c r="E7" s="199"/>
      <c r="F7" s="199"/>
      <c r="G7" s="199"/>
      <c r="H7" s="200"/>
      <c r="I7" s="219"/>
      <c r="J7" s="220"/>
      <c r="K7" s="220"/>
      <c r="L7" s="220"/>
      <c r="M7" s="219"/>
      <c r="N7" s="184"/>
      <c r="O7" s="184"/>
      <c r="P7" s="184"/>
      <c r="W7" s="219"/>
      <c r="X7" s="184"/>
      <c r="Y7" s="184"/>
      <c r="Z7" s="184"/>
      <c r="AA7" s="219"/>
      <c r="AB7" s="184"/>
      <c r="AC7" s="184"/>
      <c r="AD7" s="184"/>
    </row>
    <row r="8" spans="2:30">
      <c r="B8" s="198"/>
      <c r="C8" s="199"/>
      <c r="D8" s="199"/>
      <c r="E8" s="199"/>
      <c r="F8" s="199"/>
      <c r="G8" s="199"/>
      <c r="H8" s="200"/>
      <c r="I8" s="219"/>
      <c r="J8" s="220"/>
      <c r="K8" s="220"/>
      <c r="L8" s="220"/>
      <c r="M8" s="219"/>
      <c r="N8" s="184"/>
      <c r="O8" s="184"/>
      <c r="P8" s="184"/>
      <c r="W8" s="219"/>
      <c r="X8" s="184"/>
      <c r="Y8" s="184"/>
      <c r="Z8" s="184"/>
      <c r="AA8" s="219"/>
      <c r="AB8" s="184"/>
      <c r="AC8" s="184"/>
      <c r="AD8" s="184"/>
    </row>
    <row r="9" spans="2:30">
      <c r="B9" s="201"/>
      <c r="C9" s="202"/>
      <c r="D9" s="202"/>
      <c r="E9" s="202"/>
      <c r="F9" s="202"/>
      <c r="G9" s="202"/>
      <c r="H9" s="203"/>
      <c r="I9" s="219"/>
      <c r="J9" s="220"/>
      <c r="K9" s="220"/>
      <c r="L9" s="220"/>
      <c r="M9" s="219"/>
      <c r="N9" s="184"/>
      <c r="O9" s="184"/>
      <c r="P9" s="184"/>
      <c r="W9" s="219"/>
      <c r="X9" s="184"/>
      <c r="Y9" s="184"/>
      <c r="Z9" s="184"/>
      <c r="AA9" s="219"/>
      <c r="AB9" s="184"/>
      <c r="AC9" s="184"/>
      <c r="AD9" s="184"/>
    </row>
    <row r="10" spans="2:30">
      <c r="S10" s="22" t="s">
        <v>306</v>
      </c>
    </row>
    <row r="11" spans="2:30" ht="13.2" customHeight="1">
      <c r="B11" s="204" t="s">
        <v>298</v>
      </c>
      <c r="C11" s="204"/>
      <c r="D11" s="204"/>
      <c r="E11" s="204"/>
      <c r="F11" s="204"/>
      <c r="G11" s="204"/>
      <c r="H11" s="204"/>
      <c r="I11" s="204"/>
      <c r="J11" s="204"/>
      <c r="K11" s="204"/>
      <c r="L11" s="206" t="s">
        <v>297</v>
      </c>
      <c r="M11" s="206"/>
      <c r="N11" s="208" t="s">
        <v>296</v>
      </c>
      <c r="O11" s="208"/>
      <c r="P11" s="208"/>
      <c r="Q11" s="208"/>
      <c r="R11" s="208"/>
      <c r="S11" s="208"/>
      <c r="T11" s="208"/>
      <c r="U11" s="208"/>
      <c r="V11" s="209" t="s">
        <v>420</v>
      </c>
      <c r="W11" s="210"/>
      <c r="X11" s="210"/>
      <c r="Y11" s="210"/>
      <c r="Z11" s="210"/>
      <c r="AA11" s="210"/>
      <c r="AB11" s="210"/>
      <c r="AC11" s="210"/>
      <c r="AD11" s="211"/>
    </row>
    <row r="12" spans="2:30" ht="13.2" customHeight="1">
      <c r="B12" s="204"/>
      <c r="C12" s="204"/>
      <c r="D12" s="204"/>
      <c r="E12" s="204"/>
      <c r="F12" s="204"/>
      <c r="G12" s="204"/>
      <c r="H12" s="204"/>
      <c r="I12" s="204"/>
      <c r="J12" s="204"/>
      <c r="K12" s="204"/>
      <c r="L12" s="206"/>
      <c r="M12" s="206"/>
      <c r="N12" s="208"/>
      <c r="O12" s="208"/>
      <c r="P12" s="208"/>
      <c r="Q12" s="208"/>
      <c r="R12" s="208"/>
      <c r="S12" s="208"/>
      <c r="T12" s="208"/>
      <c r="U12" s="208"/>
      <c r="V12" s="212"/>
      <c r="W12" s="213"/>
      <c r="X12" s="213"/>
      <c r="Y12" s="213"/>
      <c r="Z12" s="213"/>
      <c r="AA12" s="213"/>
      <c r="AB12" s="213"/>
      <c r="AC12" s="213"/>
      <c r="AD12" s="214"/>
    </row>
    <row r="13" spans="2:30" ht="13.2" customHeight="1">
      <c r="B13" s="204"/>
      <c r="C13" s="204"/>
      <c r="D13" s="204"/>
      <c r="E13" s="204"/>
      <c r="F13" s="204"/>
      <c r="G13" s="204"/>
      <c r="H13" s="204"/>
      <c r="I13" s="204"/>
      <c r="J13" s="204"/>
      <c r="K13" s="204"/>
      <c r="L13" s="206"/>
      <c r="M13" s="206"/>
      <c r="N13" s="208" t="s">
        <v>294</v>
      </c>
      <c r="O13" s="208"/>
      <c r="P13" s="208"/>
      <c r="Q13" s="208"/>
      <c r="R13" s="208" t="s">
        <v>293</v>
      </c>
      <c r="S13" s="208"/>
      <c r="T13" s="208"/>
      <c r="U13" s="208"/>
      <c r="V13" s="212"/>
      <c r="W13" s="213"/>
      <c r="X13" s="213"/>
      <c r="Y13" s="213"/>
      <c r="Z13" s="213"/>
      <c r="AA13" s="213"/>
      <c r="AB13" s="213"/>
      <c r="AC13" s="213"/>
      <c r="AD13" s="214"/>
    </row>
    <row r="14" spans="2:30" ht="13.95" customHeight="1" thickBot="1">
      <c r="B14" s="205"/>
      <c r="C14" s="205"/>
      <c r="D14" s="205"/>
      <c r="E14" s="205"/>
      <c r="F14" s="205"/>
      <c r="G14" s="205"/>
      <c r="H14" s="205"/>
      <c r="I14" s="205"/>
      <c r="J14" s="205"/>
      <c r="K14" s="205"/>
      <c r="L14" s="207"/>
      <c r="M14" s="207"/>
      <c r="N14" s="218"/>
      <c r="O14" s="218"/>
      <c r="P14" s="218"/>
      <c r="Q14" s="218"/>
      <c r="R14" s="218"/>
      <c r="S14" s="218"/>
      <c r="T14" s="218"/>
      <c r="U14" s="218"/>
      <c r="V14" s="215"/>
      <c r="W14" s="216"/>
      <c r="X14" s="216"/>
      <c r="Y14" s="216"/>
      <c r="Z14" s="216"/>
      <c r="AA14" s="216"/>
      <c r="AB14" s="216"/>
      <c r="AC14" s="216"/>
      <c r="AD14" s="217"/>
    </row>
    <row r="15" spans="2:30" ht="13.8" thickTop="1">
      <c r="B15" s="177" t="s">
        <v>583</v>
      </c>
      <c r="C15" s="178"/>
      <c r="D15" s="178"/>
      <c r="E15" s="178"/>
      <c r="F15" s="178"/>
      <c r="G15" s="178"/>
      <c r="H15" s="178"/>
      <c r="I15" s="178"/>
      <c r="J15" s="178"/>
      <c r="K15" s="179"/>
      <c r="L15" s="183"/>
      <c r="M15" s="183"/>
      <c r="N15" s="185"/>
      <c r="O15" s="185"/>
      <c r="P15" s="185"/>
      <c r="Q15" s="185"/>
      <c r="R15" s="185"/>
      <c r="S15" s="185"/>
      <c r="T15" s="185"/>
      <c r="U15" s="185"/>
      <c r="V15" s="187"/>
      <c r="W15" s="188"/>
      <c r="X15" s="188"/>
      <c r="Y15" s="188"/>
      <c r="Z15" s="188"/>
      <c r="AA15" s="188"/>
      <c r="AB15" s="188"/>
      <c r="AC15" s="188"/>
      <c r="AD15" s="189"/>
    </row>
    <row r="16" spans="2:30">
      <c r="B16" s="180"/>
      <c r="C16" s="181"/>
      <c r="D16" s="181"/>
      <c r="E16" s="181"/>
      <c r="F16" s="181"/>
      <c r="G16" s="181"/>
      <c r="H16" s="181"/>
      <c r="I16" s="181"/>
      <c r="J16" s="181"/>
      <c r="K16" s="182"/>
      <c r="L16" s="184"/>
      <c r="M16" s="184"/>
      <c r="N16" s="186"/>
      <c r="O16" s="186"/>
      <c r="P16" s="186"/>
      <c r="Q16" s="186"/>
      <c r="R16" s="186"/>
      <c r="S16" s="186"/>
      <c r="T16" s="186"/>
      <c r="U16" s="186"/>
      <c r="V16" s="190"/>
      <c r="W16" s="191"/>
      <c r="X16" s="191"/>
      <c r="Y16" s="191"/>
      <c r="Z16" s="191"/>
      <c r="AA16" s="191"/>
      <c r="AB16" s="191"/>
      <c r="AC16" s="191"/>
      <c r="AD16" s="192"/>
    </row>
    <row r="17" spans="2:30">
      <c r="B17" s="221" t="s">
        <v>582</v>
      </c>
      <c r="C17" s="221"/>
      <c r="D17" s="221"/>
      <c r="E17" s="222" t="s">
        <v>581</v>
      </c>
      <c r="F17" s="222"/>
      <c r="G17" s="222"/>
      <c r="H17" s="222"/>
      <c r="I17" s="222"/>
      <c r="J17" s="222"/>
      <c r="K17" s="222"/>
      <c r="L17" s="184" t="s">
        <v>279</v>
      </c>
      <c r="M17" s="184"/>
      <c r="N17" s="204">
        <v>0</v>
      </c>
      <c r="O17" s="204"/>
      <c r="P17" s="204"/>
      <c r="Q17" s="204"/>
      <c r="R17" s="204">
        <v>0</v>
      </c>
      <c r="S17" s="204"/>
      <c r="T17" s="204"/>
      <c r="U17" s="204"/>
      <c r="V17" s="195"/>
      <c r="W17" s="196"/>
      <c r="X17" s="196"/>
      <c r="Y17" s="196"/>
      <c r="Z17" s="196"/>
      <c r="AA17" s="196"/>
      <c r="AB17" s="196"/>
      <c r="AC17" s="196"/>
      <c r="AD17" s="197"/>
    </row>
    <row r="18" spans="2:30">
      <c r="B18" s="221"/>
      <c r="C18" s="221"/>
      <c r="D18" s="221"/>
      <c r="E18" s="222"/>
      <c r="F18" s="222"/>
      <c r="G18" s="222"/>
      <c r="H18" s="222"/>
      <c r="I18" s="222"/>
      <c r="J18" s="222"/>
      <c r="K18" s="222"/>
      <c r="L18" s="184"/>
      <c r="M18" s="184"/>
      <c r="N18" s="204"/>
      <c r="O18" s="204"/>
      <c r="P18" s="204"/>
      <c r="Q18" s="204"/>
      <c r="R18" s="204"/>
      <c r="S18" s="204"/>
      <c r="T18" s="204"/>
      <c r="U18" s="204"/>
      <c r="V18" s="201"/>
      <c r="W18" s="202"/>
      <c r="X18" s="202"/>
      <c r="Y18" s="202"/>
      <c r="Z18" s="202"/>
      <c r="AA18" s="202"/>
      <c r="AB18" s="202"/>
      <c r="AC18" s="202"/>
      <c r="AD18" s="203"/>
    </row>
    <row r="19" spans="2:30">
      <c r="B19" s="221" t="s">
        <v>580</v>
      </c>
      <c r="C19" s="221"/>
      <c r="D19" s="221"/>
      <c r="E19" s="222" t="s">
        <v>579</v>
      </c>
      <c r="F19" s="222"/>
      <c r="G19" s="222"/>
      <c r="H19" s="222"/>
      <c r="I19" s="222"/>
      <c r="J19" s="222"/>
      <c r="K19" s="222"/>
      <c r="L19" s="184" t="s">
        <v>279</v>
      </c>
      <c r="M19" s="184"/>
      <c r="N19" s="204">
        <v>0</v>
      </c>
      <c r="O19" s="204"/>
      <c r="P19" s="204"/>
      <c r="Q19" s="204"/>
      <c r="R19" s="204">
        <v>0</v>
      </c>
      <c r="S19" s="204"/>
      <c r="T19" s="204"/>
      <c r="U19" s="204"/>
      <c r="V19" s="195"/>
      <c r="W19" s="196"/>
      <c r="X19" s="196"/>
      <c r="Y19" s="196"/>
      <c r="Z19" s="196"/>
      <c r="AA19" s="196"/>
      <c r="AB19" s="196"/>
      <c r="AC19" s="196"/>
      <c r="AD19" s="197"/>
    </row>
    <row r="20" spans="2:30">
      <c r="B20" s="221"/>
      <c r="C20" s="221"/>
      <c r="D20" s="221"/>
      <c r="E20" s="222"/>
      <c r="F20" s="222"/>
      <c r="G20" s="222"/>
      <c r="H20" s="222"/>
      <c r="I20" s="222"/>
      <c r="J20" s="222"/>
      <c r="K20" s="222"/>
      <c r="L20" s="184"/>
      <c r="M20" s="184"/>
      <c r="N20" s="204"/>
      <c r="O20" s="204"/>
      <c r="P20" s="204"/>
      <c r="Q20" s="204"/>
      <c r="R20" s="204"/>
      <c r="S20" s="204"/>
      <c r="T20" s="204"/>
      <c r="U20" s="204"/>
      <c r="V20" s="201"/>
      <c r="W20" s="202"/>
      <c r="X20" s="202"/>
      <c r="Y20" s="202"/>
      <c r="Z20" s="202"/>
      <c r="AA20" s="202"/>
      <c r="AB20" s="202"/>
      <c r="AC20" s="202"/>
      <c r="AD20" s="203"/>
    </row>
    <row r="21" spans="2:30" ht="13.05" customHeight="1">
      <c r="B21" s="221" t="s">
        <v>578</v>
      </c>
      <c r="C21" s="221"/>
      <c r="D21" s="221"/>
      <c r="E21" s="222" t="s">
        <v>577</v>
      </c>
      <c r="F21" s="222"/>
      <c r="G21" s="222"/>
      <c r="H21" s="222"/>
      <c r="I21" s="222"/>
      <c r="J21" s="222"/>
      <c r="K21" s="222"/>
      <c r="L21" s="184" t="s">
        <v>279</v>
      </c>
      <c r="M21" s="184"/>
      <c r="N21" s="204"/>
      <c r="O21" s="204"/>
      <c r="P21" s="204"/>
      <c r="Q21" s="204"/>
      <c r="R21" s="204"/>
      <c r="S21" s="204"/>
      <c r="T21" s="204"/>
      <c r="U21" s="204"/>
      <c r="V21" s="195"/>
      <c r="W21" s="196"/>
      <c r="X21" s="196"/>
      <c r="Y21" s="196"/>
      <c r="Z21" s="196"/>
      <c r="AA21" s="196"/>
      <c r="AB21" s="196"/>
      <c r="AC21" s="196"/>
      <c r="AD21" s="197"/>
    </row>
    <row r="22" spans="2:30" ht="13.05" customHeight="1">
      <c r="B22" s="221"/>
      <c r="C22" s="221"/>
      <c r="D22" s="221"/>
      <c r="E22" s="222"/>
      <c r="F22" s="222"/>
      <c r="G22" s="222"/>
      <c r="H22" s="222"/>
      <c r="I22" s="222"/>
      <c r="J22" s="222"/>
      <c r="K22" s="222"/>
      <c r="L22" s="184"/>
      <c r="M22" s="184"/>
      <c r="N22" s="204"/>
      <c r="O22" s="204"/>
      <c r="P22" s="204"/>
      <c r="Q22" s="204"/>
      <c r="R22" s="204"/>
      <c r="S22" s="204"/>
      <c r="T22" s="204"/>
      <c r="U22" s="204"/>
      <c r="V22" s="201"/>
      <c r="W22" s="202"/>
      <c r="X22" s="202"/>
      <c r="Y22" s="202"/>
      <c r="Z22" s="202"/>
      <c r="AA22" s="202"/>
      <c r="AB22" s="202"/>
      <c r="AC22" s="202"/>
      <c r="AD22" s="203"/>
    </row>
    <row r="23" spans="2:30" ht="13.05" customHeight="1">
      <c r="B23" s="221"/>
      <c r="C23" s="221"/>
      <c r="D23" s="221"/>
      <c r="E23" s="184"/>
      <c r="F23" s="184"/>
      <c r="G23" s="184"/>
      <c r="H23" s="184"/>
      <c r="I23" s="184"/>
      <c r="J23" s="184"/>
      <c r="K23" s="184"/>
      <c r="L23" s="184"/>
      <c r="M23" s="184"/>
      <c r="N23" s="204"/>
      <c r="O23" s="204"/>
      <c r="P23" s="204"/>
      <c r="Q23" s="204"/>
      <c r="R23" s="204"/>
      <c r="S23" s="204"/>
      <c r="T23" s="204"/>
      <c r="U23" s="204"/>
      <c r="V23" s="195"/>
      <c r="W23" s="196"/>
      <c r="X23" s="196"/>
      <c r="Y23" s="196"/>
      <c r="Z23" s="196"/>
      <c r="AA23" s="196"/>
      <c r="AB23" s="196"/>
      <c r="AC23" s="196"/>
      <c r="AD23" s="197"/>
    </row>
    <row r="24" spans="2:30" ht="13.05" customHeight="1">
      <c r="B24" s="221"/>
      <c r="C24" s="221"/>
      <c r="D24" s="221"/>
      <c r="E24" s="184"/>
      <c r="F24" s="184"/>
      <c r="G24" s="184"/>
      <c r="H24" s="184"/>
      <c r="I24" s="184"/>
      <c r="J24" s="184"/>
      <c r="K24" s="184"/>
      <c r="L24" s="184"/>
      <c r="M24" s="184"/>
      <c r="N24" s="204"/>
      <c r="O24" s="204"/>
      <c r="P24" s="204"/>
      <c r="Q24" s="204"/>
      <c r="R24" s="204"/>
      <c r="S24" s="204"/>
      <c r="T24" s="204"/>
      <c r="U24" s="204"/>
      <c r="V24" s="201"/>
      <c r="W24" s="202"/>
      <c r="X24" s="202"/>
      <c r="Y24" s="202"/>
      <c r="Z24" s="202"/>
      <c r="AA24" s="202"/>
      <c r="AB24" s="202"/>
      <c r="AC24" s="202"/>
      <c r="AD24" s="203"/>
    </row>
    <row r="25" spans="2:30" ht="13.05" customHeight="1">
      <c r="B25" s="227" t="s">
        <v>599</v>
      </c>
      <c r="C25" s="228"/>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28"/>
      <c r="AB25" s="228"/>
      <c r="AC25" s="228"/>
      <c r="AD25" s="229"/>
    </row>
    <row r="26" spans="2:30" ht="13.05" customHeight="1">
      <c r="B26" s="230"/>
      <c r="C26" s="231"/>
      <c r="D26" s="231"/>
      <c r="E26" s="231"/>
      <c r="F26" s="231"/>
      <c r="G26" s="231"/>
      <c r="H26" s="231"/>
      <c r="I26" s="231"/>
      <c r="J26" s="231"/>
      <c r="K26" s="231"/>
      <c r="L26" s="231"/>
      <c r="M26" s="231"/>
      <c r="N26" s="231"/>
      <c r="O26" s="231"/>
      <c r="P26" s="231"/>
      <c r="Q26" s="231"/>
      <c r="R26" s="231"/>
      <c r="S26" s="231"/>
      <c r="T26" s="231"/>
      <c r="U26" s="231"/>
      <c r="V26" s="231"/>
      <c r="W26" s="231"/>
      <c r="X26" s="231"/>
      <c r="Y26" s="231"/>
      <c r="Z26" s="231"/>
      <c r="AA26" s="231"/>
      <c r="AB26" s="231"/>
      <c r="AC26" s="231"/>
      <c r="AD26" s="232"/>
    </row>
    <row r="27" spans="2:30" ht="13.05" customHeight="1">
      <c r="B27" s="223" t="s">
        <v>576</v>
      </c>
      <c r="C27" s="223"/>
      <c r="D27" s="223"/>
      <c r="E27" s="224" t="s">
        <v>575</v>
      </c>
      <c r="F27" s="224"/>
      <c r="G27" s="224"/>
      <c r="H27" s="224"/>
      <c r="I27" s="224"/>
      <c r="J27" s="224"/>
      <c r="K27" s="224"/>
      <c r="L27" s="225" t="s">
        <v>428</v>
      </c>
      <c r="M27" s="225"/>
      <c r="N27" s="226">
        <v>0</v>
      </c>
      <c r="O27" s="226"/>
      <c r="P27" s="226"/>
      <c r="Q27" s="226"/>
      <c r="R27" s="226">
        <v>0</v>
      </c>
      <c r="S27" s="226"/>
      <c r="T27" s="226"/>
      <c r="U27" s="226"/>
      <c r="V27" s="227"/>
      <c r="W27" s="228"/>
      <c r="X27" s="228"/>
      <c r="Y27" s="228"/>
      <c r="Z27" s="228"/>
      <c r="AA27" s="228"/>
      <c r="AB27" s="228"/>
      <c r="AC27" s="228"/>
      <c r="AD27" s="229"/>
    </row>
    <row r="28" spans="2:30" ht="13.05" customHeight="1">
      <c r="B28" s="223"/>
      <c r="C28" s="223"/>
      <c r="D28" s="223"/>
      <c r="E28" s="224"/>
      <c r="F28" s="224"/>
      <c r="G28" s="224"/>
      <c r="H28" s="224"/>
      <c r="I28" s="224"/>
      <c r="J28" s="224"/>
      <c r="K28" s="224"/>
      <c r="L28" s="225"/>
      <c r="M28" s="225"/>
      <c r="N28" s="226"/>
      <c r="O28" s="226"/>
      <c r="P28" s="226"/>
      <c r="Q28" s="226"/>
      <c r="R28" s="226"/>
      <c r="S28" s="226"/>
      <c r="T28" s="226"/>
      <c r="U28" s="226"/>
      <c r="V28" s="230"/>
      <c r="W28" s="231"/>
      <c r="X28" s="231"/>
      <c r="Y28" s="231"/>
      <c r="Z28" s="231"/>
      <c r="AA28" s="231"/>
      <c r="AB28" s="231"/>
      <c r="AC28" s="231"/>
      <c r="AD28" s="232"/>
    </row>
    <row r="29" spans="2:30" ht="13.05" customHeight="1">
      <c r="B29" s="223" t="s">
        <v>574</v>
      </c>
      <c r="C29" s="223"/>
      <c r="D29" s="223"/>
      <c r="E29" s="224" t="s">
        <v>573</v>
      </c>
      <c r="F29" s="224"/>
      <c r="G29" s="224"/>
      <c r="H29" s="224"/>
      <c r="I29" s="224"/>
      <c r="J29" s="224"/>
      <c r="K29" s="224"/>
      <c r="L29" s="225" t="s">
        <v>428</v>
      </c>
      <c r="M29" s="225"/>
      <c r="N29" s="226">
        <v>0</v>
      </c>
      <c r="O29" s="226"/>
      <c r="P29" s="226"/>
      <c r="Q29" s="226"/>
      <c r="R29" s="226">
        <v>0</v>
      </c>
      <c r="S29" s="226"/>
      <c r="T29" s="226"/>
      <c r="U29" s="226"/>
      <c r="V29" s="227"/>
      <c r="W29" s="228"/>
      <c r="X29" s="228"/>
      <c r="Y29" s="228"/>
      <c r="Z29" s="228"/>
      <c r="AA29" s="228"/>
      <c r="AB29" s="228"/>
      <c r="AC29" s="228"/>
      <c r="AD29" s="229"/>
    </row>
    <row r="30" spans="2:30" ht="13.05" customHeight="1">
      <c r="B30" s="223"/>
      <c r="C30" s="223"/>
      <c r="D30" s="223"/>
      <c r="E30" s="224"/>
      <c r="F30" s="224"/>
      <c r="G30" s="224"/>
      <c r="H30" s="224"/>
      <c r="I30" s="224"/>
      <c r="J30" s="224"/>
      <c r="K30" s="224"/>
      <c r="L30" s="225"/>
      <c r="M30" s="225"/>
      <c r="N30" s="226"/>
      <c r="O30" s="226"/>
      <c r="P30" s="226"/>
      <c r="Q30" s="226"/>
      <c r="R30" s="226"/>
      <c r="S30" s="226"/>
      <c r="T30" s="226"/>
      <c r="U30" s="226"/>
      <c r="V30" s="230"/>
      <c r="W30" s="231"/>
      <c r="X30" s="231"/>
      <c r="Y30" s="231"/>
      <c r="Z30" s="231"/>
      <c r="AA30" s="231"/>
      <c r="AB30" s="231"/>
      <c r="AC30" s="231"/>
      <c r="AD30" s="232"/>
    </row>
    <row r="31" spans="2:30" ht="13.05" customHeight="1">
      <c r="B31" s="223" t="s">
        <v>572</v>
      </c>
      <c r="C31" s="223"/>
      <c r="D31" s="223"/>
      <c r="E31" s="224" t="s">
        <v>571</v>
      </c>
      <c r="F31" s="224"/>
      <c r="G31" s="224"/>
      <c r="H31" s="224"/>
      <c r="I31" s="224"/>
      <c r="J31" s="224"/>
      <c r="K31" s="224"/>
      <c r="L31" s="225" t="s">
        <v>428</v>
      </c>
      <c r="M31" s="225"/>
      <c r="N31" s="226">
        <v>0</v>
      </c>
      <c r="O31" s="226"/>
      <c r="P31" s="226"/>
      <c r="Q31" s="226"/>
      <c r="R31" s="226">
        <v>0</v>
      </c>
      <c r="S31" s="226"/>
      <c r="T31" s="226"/>
      <c r="U31" s="226"/>
      <c r="V31" s="227"/>
      <c r="W31" s="228"/>
      <c r="X31" s="228"/>
      <c r="Y31" s="228"/>
      <c r="Z31" s="228"/>
      <c r="AA31" s="228"/>
      <c r="AB31" s="228"/>
      <c r="AC31" s="228"/>
      <c r="AD31" s="229"/>
    </row>
    <row r="32" spans="2:30" ht="13.05" customHeight="1">
      <c r="B32" s="223"/>
      <c r="C32" s="223"/>
      <c r="D32" s="223"/>
      <c r="E32" s="224"/>
      <c r="F32" s="224"/>
      <c r="G32" s="224"/>
      <c r="H32" s="224"/>
      <c r="I32" s="224"/>
      <c r="J32" s="224"/>
      <c r="K32" s="224"/>
      <c r="L32" s="225"/>
      <c r="M32" s="225"/>
      <c r="N32" s="226"/>
      <c r="O32" s="226"/>
      <c r="P32" s="226"/>
      <c r="Q32" s="226"/>
      <c r="R32" s="226"/>
      <c r="S32" s="226"/>
      <c r="T32" s="226"/>
      <c r="U32" s="226"/>
      <c r="V32" s="230"/>
      <c r="W32" s="231"/>
      <c r="X32" s="231"/>
      <c r="Y32" s="231"/>
      <c r="Z32" s="231"/>
      <c r="AA32" s="231"/>
      <c r="AB32" s="231"/>
      <c r="AC32" s="231"/>
      <c r="AD32" s="232"/>
    </row>
    <row r="33" spans="2:30" ht="13.05" customHeight="1">
      <c r="B33" s="223" t="s">
        <v>570</v>
      </c>
      <c r="C33" s="223"/>
      <c r="D33" s="223"/>
      <c r="E33" s="224" t="s">
        <v>569</v>
      </c>
      <c r="F33" s="224"/>
      <c r="G33" s="224"/>
      <c r="H33" s="224"/>
      <c r="I33" s="224"/>
      <c r="J33" s="224"/>
      <c r="K33" s="224"/>
      <c r="L33" s="225" t="s">
        <v>428</v>
      </c>
      <c r="M33" s="225"/>
      <c r="N33" s="226">
        <v>0</v>
      </c>
      <c r="O33" s="226"/>
      <c r="P33" s="226"/>
      <c r="Q33" s="226"/>
      <c r="R33" s="226">
        <v>0</v>
      </c>
      <c r="S33" s="226"/>
      <c r="T33" s="226"/>
      <c r="U33" s="226"/>
      <c r="V33" s="227"/>
      <c r="W33" s="228"/>
      <c r="X33" s="228"/>
      <c r="Y33" s="228"/>
      <c r="Z33" s="228"/>
      <c r="AA33" s="228"/>
      <c r="AB33" s="228"/>
      <c r="AC33" s="228"/>
      <c r="AD33" s="229"/>
    </row>
    <row r="34" spans="2:30" ht="13.05" customHeight="1">
      <c r="B34" s="223"/>
      <c r="C34" s="223"/>
      <c r="D34" s="223"/>
      <c r="E34" s="224"/>
      <c r="F34" s="224"/>
      <c r="G34" s="224"/>
      <c r="H34" s="224"/>
      <c r="I34" s="224"/>
      <c r="J34" s="224"/>
      <c r="K34" s="224"/>
      <c r="L34" s="225"/>
      <c r="M34" s="225"/>
      <c r="N34" s="226"/>
      <c r="O34" s="226"/>
      <c r="P34" s="226"/>
      <c r="Q34" s="226"/>
      <c r="R34" s="226"/>
      <c r="S34" s="226"/>
      <c r="T34" s="226"/>
      <c r="U34" s="226"/>
      <c r="V34" s="230"/>
      <c r="W34" s="231"/>
      <c r="X34" s="231"/>
      <c r="Y34" s="231"/>
      <c r="Z34" s="231"/>
      <c r="AA34" s="231"/>
      <c r="AB34" s="231"/>
      <c r="AC34" s="231"/>
      <c r="AD34" s="232"/>
    </row>
    <row r="35" spans="2:30" ht="13.05" customHeight="1">
      <c r="B35" s="223" t="s">
        <v>568</v>
      </c>
      <c r="C35" s="223"/>
      <c r="D35" s="223"/>
      <c r="E35" s="224" t="s">
        <v>567</v>
      </c>
      <c r="F35" s="224"/>
      <c r="G35" s="224"/>
      <c r="H35" s="224"/>
      <c r="I35" s="224"/>
      <c r="J35" s="224"/>
      <c r="K35" s="224"/>
      <c r="L35" s="225" t="s">
        <v>428</v>
      </c>
      <c r="M35" s="225"/>
      <c r="N35" s="226">
        <v>0</v>
      </c>
      <c r="O35" s="226"/>
      <c r="P35" s="226"/>
      <c r="Q35" s="226"/>
      <c r="R35" s="226">
        <v>0</v>
      </c>
      <c r="S35" s="226"/>
      <c r="T35" s="226"/>
      <c r="U35" s="226"/>
      <c r="V35" s="233"/>
      <c r="W35" s="234"/>
      <c r="X35" s="234"/>
      <c r="Y35" s="234"/>
      <c r="Z35" s="234"/>
      <c r="AA35" s="234"/>
      <c r="AB35" s="234"/>
      <c r="AC35" s="234"/>
      <c r="AD35" s="235"/>
    </row>
    <row r="36" spans="2:30" ht="13.05" customHeight="1">
      <c r="B36" s="223"/>
      <c r="C36" s="223"/>
      <c r="D36" s="223"/>
      <c r="E36" s="224"/>
      <c r="F36" s="224"/>
      <c r="G36" s="224"/>
      <c r="H36" s="224"/>
      <c r="I36" s="224"/>
      <c r="J36" s="224"/>
      <c r="K36" s="224"/>
      <c r="L36" s="225"/>
      <c r="M36" s="225"/>
      <c r="N36" s="226"/>
      <c r="O36" s="226"/>
      <c r="P36" s="226"/>
      <c r="Q36" s="226"/>
      <c r="R36" s="226"/>
      <c r="S36" s="226"/>
      <c r="T36" s="226"/>
      <c r="U36" s="226"/>
      <c r="V36" s="236"/>
      <c r="W36" s="237"/>
      <c r="X36" s="237"/>
      <c r="Y36" s="237"/>
      <c r="Z36" s="237"/>
      <c r="AA36" s="237"/>
      <c r="AB36" s="237"/>
      <c r="AC36" s="237"/>
      <c r="AD36" s="238"/>
    </row>
    <row r="37" spans="2:30" ht="13.05" customHeight="1">
      <c r="B37" s="223" t="s">
        <v>566</v>
      </c>
      <c r="C37" s="223"/>
      <c r="D37" s="223"/>
      <c r="E37" s="224" t="s">
        <v>565</v>
      </c>
      <c r="F37" s="224"/>
      <c r="G37" s="224"/>
      <c r="H37" s="224"/>
      <c r="I37" s="224"/>
      <c r="J37" s="224"/>
      <c r="K37" s="224"/>
      <c r="L37" s="225" t="s">
        <v>428</v>
      </c>
      <c r="M37" s="225"/>
      <c r="N37" s="226"/>
      <c r="O37" s="226"/>
      <c r="P37" s="226"/>
      <c r="Q37" s="226"/>
      <c r="R37" s="226"/>
      <c r="S37" s="226"/>
      <c r="T37" s="226"/>
      <c r="U37" s="226"/>
      <c r="V37" s="227"/>
      <c r="W37" s="228"/>
      <c r="X37" s="228"/>
      <c r="Y37" s="228"/>
      <c r="Z37" s="228"/>
      <c r="AA37" s="228"/>
      <c r="AB37" s="228"/>
      <c r="AC37" s="228"/>
      <c r="AD37" s="229"/>
    </row>
    <row r="38" spans="2:30" ht="13.05" customHeight="1">
      <c r="B38" s="223"/>
      <c r="C38" s="223"/>
      <c r="D38" s="223"/>
      <c r="E38" s="224"/>
      <c r="F38" s="224"/>
      <c r="G38" s="224"/>
      <c r="H38" s="224"/>
      <c r="I38" s="224"/>
      <c r="J38" s="224"/>
      <c r="K38" s="224"/>
      <c r="L38" s="225"/>
      <c r="M38" s="225"/>
      <c r="N38" s="226"/>
      <c r="O38" s="226"/>
      <c r="P38" s="226"/>
      <c r="Q38" s="226"/>
      <c r="R38" s="226"/>
      <c r="S38" s="226"/>
      <c r="T38" s="226"/>
      <c r="U38" s="226"/>
      <c r="V38" s="230"/>
      <c r="W38" s="231"/>
      <c r="X38" s="231"/>
      <c r="Y38" s="231"/>
      <c r="Z38" s="231"/>
      <c r="AA38" s="231"/>
      <c r="AB38" s="231"/>
      <c r="AC38" s="231"/>
      <c r="AD38" s="232"/>
    </row>
    <row r="39" spans="2:30" ht="13.05" customHeight="1">
      <c r="B39" s="223" t="s">
        <v>564</v>
      </c>
      <c r="C39" s="223"/>
      <c r="D39" s="223"/>
      <c r="E39" s="224" t="s">
        <v>563</v>
      </c>
      <c r="F39" s="224"/>
      <c r="G39" s="224"/>
      <c r="H39" s="224"/>
      <c r="I39" s="224"/>
      <c r="J39" s="224"/>
      <c r="K39" s="224"/>
      <c r="L39" s="225" t="s">
        <v>428</v>
      </c>
      <c r="M39" s="225"/>
      <c r="N39" s="226"/>
      <c r="O39" s="226"/>
      <c r="P39" s="226"/>
      <c r="Q39" s="226"/>
      <c r="R39" s="226"/>
      <c r="S39" s="226"/>
      <c r="T39" s="226"/>
      <c r="U39" s="226"/>
      <c r="V39" s="227"/>
      <c r="W39" s="228"/>
      <c r="X39" s="228"/>
      <c r="Y39" s="228"/>
      <c r="Z39" s="228"/>
      <c r="AA39" s="228"/>
      <c r="AB39" s="228"/>
      <c r="AC39" s="228"/>
      <c r="AD39" s="229"/>
    </row>
    <row r="40" spans="2:30" ht="13.05" customHeight="1">
      <c r="B40" s="223"/>
      <c r="C40" s="223"/>
      <c r="D40" s="223"/>
      <c r="E40" s="224"/>
      <c r="F40" s="224"/>
      <c r="G40" s="224"/>
      <c r="H40" s="224"/>
      <c r="I40" s="224"/>
      <c r="J40" s="224"/>
      <c r="K40" s="224"/>
      <c r="L40" s="225"/>
      <c r="M40" s="225"/>
      <c r="N40" s="226"/>
      <c r="O40" s="226"/>
      <c r="P40" s="226"/>
      <c r="Q40" s="226"/>
      <c r="R40" s="226"/>
      <c r="S40" s="226"/>
      <c r="T40" s="226"/>
      <c r="U40" s="226"/>
      <c r="V40" s="230"/>
      <c r="W40" s="231"/>
      <c r="X40" s="231"/>
      <c r="Y40" s="231"/>
      <c r="Z40" s="231"/>
      <c r="AA40" s="231"/>
      <c r="AB40" s="231"/>
      <c r="AC40" s="231"/>
      <c r="AD40" s="232"/>
    </row>
    <row r="41" spans="2:30" ht="13.05" customHeight="1">
      <c r="B41" s="223" t="s">
        <v>562</v>
      </c>
      <c r="C41" s="223"/>
      <c r="D41" s="223"/>
      <c r="E41" s="224" t="s">
        <v>561</v>
      </c>
      <c r="F41" s="224"/>
      <c r="G41" s="224"/>
      <c r="H41" s="224"/>
      <c r="I41" s="224"/>
      <c r="J41" s="224"/>
      <c r="K41" s="224"/>
      <c r="L41" s="225" t="s">
        <v>428</v>
      </c>
      <c r="M41" s="225"/>
      <c r="N41" s="226">
        <v>0</v>
      </c>
      <c r="O41" s="226"/>
      <c r="P41" s="226"/>
      <c r="Q41" s="226"/>
      <c r="R41" s="226">
        <v>0</v>
      </c>
      <c r="S41" s="226"/>
      <c r="T41" s="226"/>
      <c r="U41" s="226"/>
      <c r="V41" s="227"/>
      <c r="W41" s="228"/>
      <c r="X41" s="228"/>
      <c r="Y41" s="228"/>
      <c r="Z41" s="228"/>
      <c r="AA41" s="228"/>
      <c r="AB41" s="228"/>
      <c r="AC41" s="228"/>
      <c r="AD41" s="229"/>
    </row>
    <row r="42" spans="2:30" ht="13.05" customHeight="1">
      <c r="B42" s="223"/>
      <c r="C42" s="223"/>
      <c r="D42" s="223"/>
      <c r="E42" s="224"/>
      <c r="F42" s="224"/>
      <c r="G42" s="224"/>
      <c r="H42" s="224"/>
      <c r="I42" s="224"/>
      <c r="J42" s="224"/>
      <c r="K42" s="224"/>
      <c r="L42" s="225"/>
      <c r="M42" s="225"/>
      <c r="N42" s="226"/>
      <c r="O42" s="226"/>
      <c r="P42" s="226"/>
      <c r="Q42" s="226"/>
      <c r="R42" s="226"/>
      <c r="S42" s="226"/>
      <c r="T42" s="226"/>
      <c r="U42" s="226"/>
      <c r="V42" s="230"/>
      <c r="W42" s="231"/>
      <c r="X42" s="231"/>
      <c r="Y42" s="231"/>
      <c r="Z42" s="231"/>
      <c r="AA42" s="231"/>
      <c r="AB42" s="231"/>
      <c r="AC42" s="231"/>
      <c r="AD42" s="232"/>
    </row>
    <row r="43" spans="2:30" ht="13.05" customHeight="1">
      <c r="B43" s="223" t="s">
        <v>560</v>
      </c>
      <c r="C43" s="223"/>
      <c r="D43" s="223"/>
      <c r="E43" s="224" t="s">
        <v>559</v>
      </c>
      <c r="F43" s="224"/>
      <c r="G43" s="224"/>
      <c r="H43" s="224"/>
      <c r="I43" s="224"/>
      <c r="J43" s="224"/>
      <c r="K43" s="224"/>
      <c r="L43" s="225" t="s">
        <v>428</v>
      </c>
      <c r="M43" s="225"/>
      <c r="N43" s="226">
        <v>0</v>
      </c>
      <c r="O43" s="226"/>
      <c r="P43" s="226"/>
      <c r="Q43" s="226"/>
      <c r="R43" s="226">
        <v>0</v>
      </c>
      <c r="S43" s="226"/>
      <c r="T43" s="226"/>
      <c r="U43" s="226"/>
      <c r="V43" s="227"/>
      <c r="W43" s="228"/>
      <c r="X43" s="228"/>
      <c r="Y43" s="228"/>
      <c r="Z43" s="228"/>
      <c r="AA43" s="228"/>
      <c r="AB43" s="228"/>
      <c r="AC43" s="228"/>
      <c r="AD43" s="229"/>
    </row>
    <row r="44" spans="2:30" ht="13.05" customHeight="1">
      <c r="B44" s="223"/>
      <c r="C44" s="223"/>
      <c r="D44" s="223"/>
      <c r="E44" s="224"/>
      <c r="F44" s="224"/>
      <c r="G44" s="224"/>
      <c r="H44" s="224"/>
      <c r="I44" s="224"/>
      <c r="J44" s="224"/>
      <c r="K44" s="224"/>
      <c r="L44" s="225"/>
      <c r="M44" s="225"/>
      <c r="N44" s="226"/>
      <c r="O44" s="226"/>
      <c r="P44" s="226"/>
      <c r="Q44" s="226"/>
      <c r="R44" s="226"/>
      <c r="S44" s="226"/>
      <c r="T44" s="226"/>
      <c r="U44" s="226"/>
      <c r="V44" s="230"/>
      <c r="W44" s="231"/>
      <c r="X44" s="231"/>
      <c r="Y44" s="231"/>
      <c r="Z44" s="231"/>
      <c r="AA44" s="231"/>
      <c r="AB44" s="231"/>
      <c r="AC44" s="231"/>
      <c r="AD44" s="232"/>
    </row>
    <row r="45" spans="2:30" ht="13.05" customHeight="1">
      <c r="B45" s="239" t="s">
        <v>558</v>
      </c>
      <c r="C45" s="240"/>
      <c r="D45" s="241"/>
      <c r="E45" s="245" t="s">
        <v>557</v>
      </c>
      <c r="F45" s="246"/>
      <c r="G45" s="246"/>
      <c r="H45" s="246"/>
      <c r="I45" s="246"/>
      <c r="J45" s="246"/>
      <c r="K45" s="247"/>
      <c r="L45" s="227" t="s">
        <v>428</v>
      </c>
      <c r="M45" s="229"/>
      <c r="N45" s="226">
        <v>0</v>
      </c>
      <c r="O45" s="226"/>
      <c r="P45" s="226"/>
      <c r="Q45" s="226"/>
      <c r="R45" s="226">
        <v>0</v>
      </c>
      <c r="S45" s="226"/>
      <c r="T45" s="226"/>
      <c r="U45" s="226"/>
      <c r="V45" s="227"/>
      <c r="W45" s="228"/>
      <c r="X45" s="228"/>
      <c r="Y45" s="228"/>
      <c r="Z45" s="228"/>
      <c r="AA45" s="228"/>
      <c r="AB45" s="228"/>
      <c r="AC45" s="228"/>
      <c r="AD45" s="229"/>
    </row>
    <row r="46" spans="2:30" ht="13.05" customHeight="1">
      <c r="B46" s="242"/>
      <c r="C46" s="243"/>
      <c r="D46" s="244"/>
      <c r="E46" s="248"/>
      <c r="F46" s="249"/>
      <c r="G46" s="249"/>
      <c r="H46" s="249"/>
      <c r="I46" s="249"/>
      <c r="J46" s="249"/>
      <c r="K46" s="250"/>
      <c r="L46" s="230"/>
      <c r="M46" s="232"/>
      <c r="N46" s="226"/>
      <c r="O46" s="226"/>
      <c r="P46" s="226"/>
      <c r="Q46" s="226"/>
      <c r="R46" s="226"/>
      <c r="S46" s="226"/>
      <c r="T46" s="226"/>
      <c r="U46" s="226"/>
      <c r="V46" s="230"/>
      <c r="W46" s="231"/>
      <c r="X46" s="231"/>
      <c r="Y46" s="231"/>
      <c r="Z46" s="231"/>
      <c r="AA46" s="231"/>
      <c r="AB46" s="231"/>
      <c r="AC46" s="231"/>
      <c r="AD46" s="232"/>
    </row>
    <row r="47" spans="2:30" ht="13.05" customHeight="1">
      <c r="B47" s="239" t="s">
        <v>600</v>
      </c>
      <c r="C47" s="240"/>
      <c r="D47" s="241"/>
      <c r="E47" s="245" t="s">
        <v>556</v>
      </c>
      <c r="F47" s="246"/>
      <c r="G47" s="246"/>
      <c r="H47" s="246"/>
      <c r="I47" s="246"/>
      <c r="J47" s="246"/>
      <c r="K47" s="247"/>
      <c r="L47" s="227" t="s">
        <v>428</v>
      </c>
      <c r="M47" s="229"/>
      <c r="N47" s="226">
        <v>0</v>
      </c>
      <c r="O47" s="226"/>
      <c r="P47" s="226"/>
      <c r="Q47" s="226"/>
      <c r="R47" s="226">
        <v>0</v>
      </c>
      <c r="S47" s="226"/>
      <c r="T47" s="226"/>
      <c r="U47" s="226"/>
      <c r="V47" s="227"/>
      <c r="W47" s="228"/>
      <c r="X47" s="228"/>
      <c r="Y47" s="228"/>
      <c r="Z47" s="228"/>
      <c r="AA47" s="228"/>
      <c r="AB47" s="228"/>
      <c r="AC47" s="228"/>
      <c r="AD47" s="229"/>
    </row>
    <row r="48" spans="2:30" ht="13.05" customHeight="1">
      <c r="B48" s="242"/>
      <c r="C48" s="243"/>
      <c r="D48" s="244"/>
      <c r="E48" s="248"/>
      <c r="F48" s="249"/>
      <c r="G48" s="249"/>
      <c r="H48" s="249"/>
      <c r="I48" s="249"/>
      <c r="J48" s="249"/>
      <c r="K48" s="250"/>
      <c r="L48" s="230"/>
      <c r="M48" s="232"/>
      <c r="N48" s="226"/>
      <c r="O48" s="226"/>
      <c r="P48" s="226"/>
      <c r="Q48" s="226"/>
      <c r="R48" s="226"/>
      <c r="S48" s="226"/>
      <c r="T48" s="226"/>
      <c r="U48" s="226"/>
      <c r="V48" s="230"/>
      <c r="W48" s="231"/>
      <c r="X48" s="231"/>
      <c r="Y48" s="231"/>
      <c r="Z48" s="231"/>
      <c r="AA48" s="231"/>
      <c r="AB48" s="231"/>
      <c r="AC48" s="231"/>
      <c r="AD48" s="232"/>
    </row>
    <row r="49" spans="2:30" ht="13.05" customHeight="1">
      <c r="B49" s="239" t="s">
        <v>601</v>
      </c>
      <c r="C49" s="240"/>
      <c r="D49" s="241"/>
      <c r="E49" s="245" t="s">
        <v>555</v>
      </c>
      <c r="F49" s="246"/>
      <c r="G49" s="246"/>
      <c r="H49" s="246"/>
      <c r="I49" s="246"/>
      <c r="J49" s="246"/>
      <c r="K49" s="247"/>
      <c r="L49" s="227" t="s">
        <v>428</v>
      </c>
      <c r="M49" s="229"/>
      <c r="N49" s="226">
        <v>0</v>
      </c>
      <c r="O49" s="226"/>
      <c r="P49" s="226"/>
      <c r="Q49" s="226"/>
      <c r="R49" s="226">
        <v>0</v>
      </c>
      <c r="S49" s="226"/>
      <c r="T49" s="226"/>
      <c r="U49" s="226"/>
      <c r="V49" s="227"/>
      <c r="W49" s="228"/>
      <c r="X49" s="228"/>
      <c r="Y49" s="228"/>
      <c r="Z49" s="228"/>
      <c r="AA49" s="228"/>
      <c r="AB49" s="228"/>
      <c r="AC49" s="228"/>
      <c r="AD49" s="229"/>
    </row>
    <row r="50" spans="2:30" ht="13.05" customHeight="1">
      <c r="B50" s="242"/>
      <c r="C50" s="243"/>
      <c r="D50" s="244"/>
      <c r="E50" s="248"/>
      <c r="F50" s="249"/>
      <c r="G50" s="249"/>
      <c r="H50" s="249"/>
      <c r="I50" s="249"/>
      <c r="J50" s="249"/>
      <c r="K50" s="250"/>
      <c r="L50" s="230"/>
      <c r="M50" s="232"/>
      <c r="N50" s="226"/>
      <c r="O50" s="226"/>
      <c r="P50" s="226"/>
      <c r="Q50" s="226"/>
      <c r="R50" s="226"/>
      <c r="S50" s="226"/>
      <c r="T50" s="226"/>
      <c r="U50" s="226"/>
      <c r="V50" s="230"/>
      <c r="W50" s="231"/>
      <c r="X50" s="231"/>
      <c r="Y50" s="231"/>
      <c r="Z50" s="231"/>
      <c r="AA50" s="231"/>
      <c r="AB50" s="231"/>
      <c r="AC50" s="231"/>
      <c r="AD50" s="232"/>
    </row>
    <row r="51" spans="2:30" ht="13.05" customHeight="1">
      <c r="B51" s="251" t="s">
        <v>602</v>
      </c>
      <c r="C51" s="252"/>
      <c r="D51" s="253"/>
      <c r="E51" s="245" t="s">
        <v>554</v>
      </c>
      <c r="F51" s="246"/>
      <c r="G51" s="246"/>
      <c r="H51" s="246"/>
      <c r="I51" s="246"/>
      <c r="J51" s="246"/>
      <c r="K51" s="247"/>
      <c r="L51" s="227" t="s">
        <v>428</v>
      </c>
      <c r="M51" s="229"/>
      <c r="N51" s="226">
        <v>0</v>
      </c>
      <c r="O51" s="226"/>
      <c r="P51" s="226"/>
      <c r="Q51" s="226"/>
      <c r="R51" s="226">
        <v>0</v>
      </c>
      <c r="S51" s="226"/>
      <c r="T51" s="226"/>
      <c r="U51" s="226"/>
      <c r="V51" s="227"/>
      <c r="W51" s="228"/>
      <c r="X51" s="228"/>
      <c r="Y51" s="228"/>
      <c r="Z51" s="228"/>
      <c r="AA51" s="228"/>
      <c r="AB51" s="228"/>
      <c r="AC51" s="228"/>
      <c r="AD51" s="229"/>
    </row>
    <row r="52" spans="2:30" ht="13.05" customHeight="1">
      <c r="B52" s="254"/>
      <c r="C52" s="255"/>
      <c r="D52" s="256"/>
      <c r="E52" s="248"/>
      <c r="F52" s="249"/>
      <c r="G52" s="249"/>
      <c r="H52" s="249"/>
      <c r="I52" s="249"/>
      <c r="J52" s="249"/>
      <c r="K52" s="250"/>
      <c r="L52" s="230"/>
      <c r="M52" s="232"/>
      <c r="N52" s="226"/>
      <c r="O52" s="226"/>
      <c r="P52" s="226"/>
      <c r="Q52" s="226"/>
      <c r="R52" s="226"/>
      <c r="S52" s="226"/>
      <c r="T52" s="226"/>
      <c r="U52" s="226"/>
      <c r="V52" s="230"/>
      <c r="W52" s="231"/>
      <c r="X52" s="231"/>
      <c r="Y52" s="231"/>
      <c r="Z52" s="231"/>
      <c r="AA52" s="231"/>
      <c r="AB52" s="231"/>
      <c r="AC52" s="231"/>
      <c r="AD52" s="232"/>
    </row>
    <row r="53" spans="2:30" ht="13.05" customHeight="1">
      <c r="B53" s="223" t="s">
        <v>553</v>
      </c>
      <c r="C53" s="223"/>
      <c r="D53" s="223"/>
      <c r="E53" s="224" t="s">
        <v>552</v>
      </c>
      <c r="F53" s="224"/>
      <c r="G53" s="224"/>
      <c r="H53" s="224"/>
      <c r="I53" s="224"/>
      <c r="J53" s="224"/>
      <c r="K53" s="224"/>
      <c r="L53" s="225" t="s">
        <v>549</v>
      </c>
      <c r="M53" s="225"/>
      <c r="N53" s="226">
        <v>0</v>
      </c>
      <c r="O53" s="226"/>
      <c r="P53" s="226"/>
      <c r="Q53" s="226"/>
      <c r="R53" s="226">
        <v>0</v>
      </c>
      <c r="S53" s="226"/>
      <c r="T53" s="226"/>
      <c r="U53" s="226"/>
      <c r="V53" s="227"/>
      <c r="W53" s="228"/>
      <c r="X53" s="228"/>
      <c r="Y53" s="228"/>
      <c r="Z53" s="228"/>
      <c r="AA53" s="228"/>
      <c r="AB53" s="228"/>
      <c r="AC53" s="228"/>
      <c r="AD53" s="229"/>
    </row>
    <row r="54" spans="2:30" ht="13.05" customHeight="1">
      <c r="B54" s="223"/>
      <c r="C54" s="223"/>
      <c r="D54" s="223"/>
      <c r="E54" s="224"/>
      <c r="F54" s="224"/>
      <c r="G54" s="224"/>
      <c r="H54" s="224"/>
      <c r="I54" s="224"/>
      <c r="J54" s="224"/>
      <c r="K54" s="224"/>
      <c r="L54" s="225"/>
      <c r="M54" s="225"/>
      <c r="N54" s="226"/>
      <c r="O54" s="226"/>
      <c r="P54" s="226"/>
      <c r="Q54" s="226"/>
      <c r="R54" s="226"/>
      <c r="S54" s="226"/>
      <c r="T54" s="226"/>
      <c r="U54" s="226"/>
      <c r="V54" s="230"/>
      <c r="W54" s="231"/>
      <c r="X54" s="231"/>
      <c r="Y54" s="231"/>
      <c r="Z54" s="231"/>
      <c r="AA54" s="231"/>
      <c r="AB54" s="231"/>
      <c r="AC54" s="231"/>
      <c r="AD54" s="232"/>
    </row>
    <row r="55" spans="2:30" ht="13.05" customHeight="1">
      <c r="B55" s="223" t="s">
        <v>551</v>
      </c>
      <c r="C55" s="223"/>
      <c r="D55" s="223"/>
      <c r="E55" s="224" t="s">
        <v>550</v>
      </c>
      <c r="F55" s="224"/>
      <c r="G55" s="224"/>
      <c r="H55" s="224"/>
      <c r="I55" s="224"/>
      <c r="J55" s="224"/>
      <c r="K55" s="224"/>
      <c r="L55" s="225" t="s">
        <v>549</v>
      </c>
      <c r="M55" s="225"/>
      <c r="N55" s="226">
        <v>0</v>
      </c>
      <c r="O55" s="226"/>
      <c r="P55" s="226"/>
      <c r="Q55" s="226"/>
      <c r="R55" s="226">
        <v>0</v>
      </c>
      <c r="S55" s="226"/>
      <c r="T55" s="226"/>
      <c r="U55" s="226"/>
      <c r="V55" s="227"/>
      <c r="W55" s="228"/>
      <c r="X55" s="228"/>
      <c r="Y55" s="228"/>
      <c r="Z55" s="228"/>
      <c r="AA55" s="228"/>
      <c r="AB55" s="228"/>
      <c r="AC55" s="228"/>
      <c r="AD55" s="229"/>
    </row>
    <row r="56" spans="2:30" ht="13.05" customHeight="1">
      <c r="B56" s="223"/>
      <c r="C56" s="223"/>
      <c r="D56" s="223"/>
      <c r="E56" s="224"/>
      <c r="F56" s="224"/>
      <c r="G56" s="224"/>
      <c r="H56" s="224"/>
      <c r="I56" s="224"/>
      <c r="J56" s="224"/>
      <c r="K56" s="224"/>
      <c r="L56" s="225"/>
      <c r="M56" s="225"/>
      <c r="N56" s="226"/>
      <c r="O56" s="226"/>
      <c r="P56" s="226"/>
      <c r="Q56" s="226"/>
      <c r="R56" s="226"/>
      <c r="S56" s="226"/>
      <c r="T56" s="226"/>
      <c r="U56" s="226"/>
      <c r="V56" s="230"/>
      <c r="W56" s="231"/>
      <c r="X56" s="231"/>
      <c r="Y56" s="231"/>
      <c r="Z56" s="231"/>
      <c r="AA56" s="231"/>
      <c r="AB56" s="231"/>
      <c r="AC56" s="231"/>
      <c r="AD56" s="232"/>
    </row>
    <row r="57" spans="2:30" ht="13.05" customHeight="1">
      <c r="B57" s="257" t="s">
        <v>548</v>
      </c>
      <c r="C57" s="240"/>
      <c r="D57" s="241"/>
      <c r="E57" s="245" t="s">
        <v>547</v>
      </c>
      <c r="F57" s="246"/>
      <c r="G57" s="246"/>
      <c r="H57" s="246"/>
      <c r="I57" s="246"/>
      <c r="J57" s="246"/>
      <c r="K57" s="247"/>
      <c r="L57" s="227" t="s">
        <v>428</v>
      </c>
      <c r="M57" s="229"/>
      <c r="N57" s="226">
        <v>0</v>
      </c>
      <c r="O57" s="226"/>
      <c r="P57" s="226"/>
      <c r="Q57" s="226"/>
      <c r="R57" s="226">
        <v>0</v>
      </c>
      <c r="S57" s="226"/>
      <c r="T57" s="226"/>
      <c r="U57" s="226"/>
      <c r="V57" s="227"/>
      <c r="W57" s="228"/>
      <c r="X57" s="228"/>
      <c r="Y57" s="228"/>
      <c r="Z57" s="228"/>
      <c r="AA57" s="228"/>
      <c r="AB57" s="228"/>
      <c r="AC57" s="228"/>
      <c r="AD57" s="229"/>
    </row>
    <row r="58" spans="2:30" ht="13.05" customHeight="1">
      <c r="B58" s="242"/>
      <c r="C58" s="243"/>
      <c r="D58" s="244"/>
      <c r="E58" s="248"/>
      <c r="F58" s="249"/>
      <c r="G58" s="249"/>
      <c r="H58" s="249"/>
      <c r="I58" s="249"/>
      <c r="J58" s="249"/>
      <c r="K58" s="250"/>
      <c r="L58" s="230"/>
      <c r="M58" s="232"/>
      <c r="N58" s="226"/>
      <c r="O58" s="226"/>
      <c r="P58" s="226"/>
      <c r="Q58" s="226"/>
      <c r="R58" s="226"/>
      <c r="S58" s="226"/>
      <c r="T58" s="226"/>
      <c r="U58" s="226"/>
      <c r="V58" s="230"/>
      <c r="W58" s="231"/>
      <c r="X58" s="231"/>
      <c r="Y58" s="231"/>
      <c r="Z58" s="231"/>
      <c r="AA58" s="231"/>
      <c r="AB58" s="231"/>
      <c r="AC58" s="231"/>
      <c r="AD58" s="232"/>
    </row>
    <row r="59" spans="2:30" ht="13.05" customHeight="1">
      <c r="B59" s="257" t="s">
        <v>546</v>
      </c>
      <c r="C59" s="240"/>
      <c r="D59" s="241"/>
      <c r="E59" s="245" t="s">
        <v>603</v>
      </c>
      <c r="F59" s="246"/>
      <c r="G59" s="246"/>
      <c r="H59" s="246"/>
      <c r="I59" s="246"/>
      <c r="J59" s="246"/>
      <c r="K59" s="247"/>
      <c r="L59" s="227" t="s">
        <v>446</v>
      </c>
      <c r="M59" s="229"/>
      <c r="N59" s="258">
        <v>0</v>
      </c>
      <c r="O59" s="259"/>
      <c r="P59" s="259"/>
      <c r="Q59" s="260"/>
      <c r="R59" s="258">
        <v>0</v>
      </c>
      <c r="S59" s="259"/>
      <c r="T59" s="259"/>
      <c r="U59" s="260"/>
      <c r="V59" s="227"/>
      <c r="W59" s="228"/>
      <c r="X59" s="228"/>
      <c r="Y59" s="228"/>
      <c r="Z59" s="228"/>
      <c r="AA59" s="228"/>
      <c r="AB59" s="228"/>
      <c r="AC59" s="228"/>
      <c r="AD59" s="229"/>
    </row>
    <row r="60" spans="2:30" ht="13.05" customHeight="1">
      <c r="B60" s="242"/>
      <c r="C60" s="243"/>
      <c r="D60" s="244"/>
      <c r="E60" s="248"/>
      <c r="F60" s="249"/>
      <c r="G60" s="249"/>
      <c r="H60" s="249"/>
      <c r="I60" s="249"/>
      <c r="J60" s="249"/>
      <c r="K60" s="250"/>
      <c r="L60" s="230"/>
      <c r="M60" s="232"/>
      <c r="N60" s="261"/>
      <c r="O60" s="262"/>
      <c r="P60" s="262"/>
      <c r="Q60" s="263"/>
      <c r="R60" s="261"/>
      <c r="S60" s="262"/>
      <c r="T60" s="262"/>
      <c r="U60" s="263"/>
      <c r="V60" s="230"/>
      <c r="W60" s="231"/>
      <c r="X60" s="231"/>
      <c r="Y60" s="231"/>
      <c r="Z60" s="231"/>
      <c r="AA60" s="231"/>
      <c r="AB60" s="231"/>
      <c r="AC60" s="231"/>
      <c r="AD60" s="232"/>
    </row>
    <row r="61" spans="2:30" ht="13.05" customHeight="1">
      <c r="B61" s="223" t="s">
        <v>604</v>
      </c>
      <c r="C61" s="223"/>
      <c r="D61" s="223"/>
      <c r="E61" s="224" t="s">
        <v>545</v>
      </c>
      <c r="F61" s="224"/>
      <c r="G61" s="224"/>
      <c r="H61" s="224"/>
      <c r="I61" s="224"/>
      <c r="J61" s="224"/>
      <c r="K61" s="224"/>
      <c r="L61" s="227" t="s">
        <v>446</v>
      </c>
      <c r="M61" s="229"/>
      <c r="N61" s="258">
        <v>0</v>
      </c>
      <c r="O61" s="259"/>
      <c r="P61" s="259"/>
      <c r="Q61" s="260"/>
      <c r="R61" s="258">
        <v>0</v>
      </c>
      <c r="S61" s="259"/>
      <c r="T61" s="259"/>
      <c r="U61" s="260"/>
      <c r="V61" s="227"/>
      <c r="W61" s="228"/>
      <c r="X61" s="228"/>
      <c r="Y61" s="228"/>
      <c r="Z61" s="228"/>
      <c r="AA61" s="228"/>
      <c r="AB61" s="228"/>
      <c r="AC61" s="228"/>
      <c r="AD61" s="229"/>
    </row>
    <row r="62" spans="2:30" ht="13.05" customHeight="1">
      <c r="B62" s="223"/>
      <c r="C62" s="223"/>
      <c r="D62" s="223"/>
      <c r="E62" s="270"/>
      <c r="F62" s="270"/>
      <c r="G62" s="270"/>
      <c r="H62" s="224"/>
      <c r="I62" s="224"/>
      <c r="J62" s="224"/>
      <c r="K62" s="224"/>
      <c r="L62" s="230"/>
      <c r="M62" s="232"/>
      <c r="N62" s="261"/>
      <c r="O62" s="262"/>
      <c r="P62" s="262"/>
      <c r="Q62" s="263"/>
      <c r="R62" s="261"/>
      <c r="S62" s="262"/>
      <c r="T62" s="262"/>
      <c r="U62" s="263"/>
      <c r="V62" s="230"/>
      <c r="W62" s="231"/>
      <c r="X62" s="231"/>
      <c r="Y62" s="231"/>
      <c r="Z62" s="231"/>
      <c r="AA62" s="231"/>
      <c r="AB62" s="231"/>
      <c r="AC62" s="231"/>
      <c r="AD62" s="232"/>
    </row>
    <row r="63" spans="2:30" ht="13.05" customHeight="1">
      <c r="B63" s="277"/>
      <c r="C63" s="278"/>
      <c r="D63" s="279"/>
      <c r="E63" s="271"/>
      <c r="F63" s="272"/>
      <c r="G63" s="272"/>
      <c r="H63" s="272"/>
      <c r="I63" s="272"/>
      <c r="J63" s="272"/>
      <c r="K63" s="273"/>
      <c r="L63" s="195"/>
      <c r="M63" s="197"/>
      <c r="N63" s="264"/>
      <c r="O63" s="265"/>
      <c r="P63" s="265"/>
      <c r="Q63" s="266"/>
      <c r="R63" s="264"/>
      <c r="S63" s="265"/>
      <c r="T63" s="265"/>
      <c r="U63" s="266"/>
      <c r="V63" s="195"/>
      <c r="W63" s="196"/>
      <c r="X63" s="196"/>
      <c r="Y63" s="196"/>
      <c r="Z63" s="196"/>
      <c r="AA63" s="196"/>
      <c r="AB63" s="196"/>
      <c r="AC63" s="196"/>
      <c r="AD63" s="197"/>
    </row>
    <row r="64" spans="2:30" ht="13.05" customHeight="1">
      <c r="B64" s="280"/>
      <c r="C64" s="281"/>
      <c r="D64" s="282"/>
      <c r="E64" s="274"/>
      <c r="F64" s="275"/>
      <c r="G64" s="275"/>
      <c r="H64" s="275"/>
      <c r="I64" s="275"/>
      <c r="J64" s="275"/>
      <c r="K64" s="276"/>
      <c r="L64" s="201"/>
      <c r="M64" s="203"/>
      <c r="N64" s="267"/>
      <c r="O64" s="268"/>
      <c r="P64" s="268"/>
      <c r="Q64" s="269"/>
      <c r="R64" s="267"/>
      <c r="S64" s="268"/>
      <c r="T64" s="268"/>
      <c r="U64" s="269"/>
      <c r="V64" s="201"/>
      <c r="W64" s="202"/>
      <c r="X64" s="202"/>
      <c r="Y64" s="202"/>
      <c r="Z64" s="202"/>
      <c r="AA64" s="202"/>
      <c r="AB64" s="202"/>
      <c r="AC64" s="202"/>
      <c r="AD64" s="203"/>
    </row>
    <row r="65" spans="2:30">
      <c r="B65" s="284"/>
      <c r="C65" s="221"/>
      <c r="D65" s="283"/>
      <c r="E65" s="271"/>
      <c r="F65" s="272"/>
      <c r="G65" s="272"/>
      <c r="H65" s="272"/>
      <c r="I65" s="272"/>
      <c r="J65" s="272"/>
      <c r="K65" s="273"/>
      <c r="L65" s="184"/>
      <c r="M65" s="184"/>
      <c r="N65" s="204"/>
      <c r="O65" s="204"/>
      <c r="P65" s="204"/>
      <c r="Q65" s="204"/>
      <c r="R65" s="204"/>
      <c r="S65" s="204"/>
      <c r="T65" s="204"/>
      <c r="U65" s="204"/>
      <c r="V65" s="195"/>
      <c r="W65" s="196"/>
      <c r="X65" s="196"/>
      <c r="Y65" s="196"/>
      <c r="Z65" s="196"/>
      <c r="AA65" s="196"/>
      <c r="AB65" s="196"/>
      <c r="AC65" s="196"/>
      <c r="AD65" s="197"/>
    </row>
    <row r="66" spans="2:30">
      <c r="B66" s="221"/>
      <c r="C66" s="221"/>
      <c r="D66" s="283"/>
      <c r="E66" s="274"/>
      <c r="F66" s="275"/>
      <c r="G66" s="275"/>
      <c r="H66" s="275"/>
      <c r="I66" s="275"/>
      <c r="J66" s="275"/>
      <c r="K66" s="276"/>
      <c r="L66" s="184"/>
      <c r="M66" s="184"/>
      <c r="N66" s="204"/>
      <c r="O66" s="204"/>
      <c r="P66" s="204"/>
      <c r="Q66" s="204"/>
      <c r="R66" s="204"/>
      <c r="S66" s="204"/>
      <c r="T66" s="204"/>
      <c r="U66" s="204"/>
      <c r="V66" s="201"/>
      <c r="W66" s="202"/>
      <c r="X66" s="202"/>
      <c r="Y66" s="202"/>
      <c r="Z66" s="202"/>
      <c r="AA66" s="202"/>
      <c r="AB66" s="202"/>
      <c r="AC66" s="202"/>
      <c r="AD66" s="203"/>
    </row>
    <row r="67" spans="2:30" ht="14.55" customHeight="1">
      <c r="B67" s="221"/>
      <c r="C67" s="221"/>
      <c r="D67" s="283"/>
      <c r="E67" s="271"/>
      <c r="F67" s="272"/>
      <c r="G67" s="272"/>
      <c r="H67" s="272"/>
      <c r="I67" s="272"/>
      <c r="J67" s="272"/>
      <c r="K67" s="273"/>
      <c r="L67" s="184"/>
      <c r="M67" s="184"/>
      <c r="N67" s="204"/>
      <c r="O67" s="204"/>
      <c r="P67" s="204"/>
      <c r="Q67" s="204"/>
      <c r="R67" s="204"/>
      <c r="S67" s="204"/>
      <c r="T67" s="204"/>
      <c r="U67" s="204"/>
      <c r="V67" s="195"/>
      <c r="W67" s="196"/>
      <c r="X67" s="196"/>
      <c r="Y67" s="196"/>
      <c r="Z67" s="196"/>
      <c r="AA67" s="196"/>
      <c r="AB67" s="196"/>
      <c r="AC67" s="196"/>
      <c r="AD67" s="197"/>
    </row>
    <row r="68" spans="2:30" ht="13.8" thickBot="1">
      <c r="B68" s="221"/>
      <c r="C68" s="221"/>
      <c r="D68" s="283"/>
      <c r="E68" s="274"/>
      <c r="F68" s="275"/>
      <c r="G68" s="275"/>
      <c r="H68" s="275"/>
      <c r="I68" s="275"/>
      <c r="J68" s="275"/>
      <c r="K68" s="276"/>
      <c r="L68" s="184"/>
      <c r="M68" s="184"/>
      <c r="N68" s="186"/>
      <c r="O68" s="186"/>
      <c r="P68" s="186"/>
      <c r="Q68" s="186"/>
      <c r="R68" s="186"/>
      <c r="S68" s="186"/>
      <c r="T68" s="186"/>
      <c r="U68" s="186"/>
      <c r="V68" s="201"/>
      <c r="W68" s="202"/>
      <c r="X68" s="202"/>
      <c r="Y68" s="202"/>
      <c r="Z68" s="202"/>
      <c r="AA68" s="202"/>
      <c r="AB68" s="202"/>
      <c r="AC68" s="202"/>
      <c r="AD68" s="203"/>
    </row>
    <row r="69" spans="2:30">
      <c r="B69" s="221"/>
      <c r="C69" s="221"/>
      <c r="D69" s="221"/>
      <c r="E69" s="222" t="s">
        <v>544</v>
      </c>
      <c r="F69" s="222"/>
      <c r="G69" s="222"/>
      <c r="H69" s="222"/>
      <c r="I69" s="222"/>
      <c r="J69" s="222"/>
      <c r="K69" s="222"/>
      <c r="L69" s="184"/>
      <c r="M69" s="289"/>
      <c r="N69" s="290" t="s">
        <v>543</v>
      </c>
      <c r="O69" s="291"/>
      <c r="P69" s="291"/>
      <c r="Q69" s="292"/>
      <c r="R69" s="290" t="s">
        <v>542</v>
      </c>
      <c r="S69" s="291"/>
      <c r="T69" s="291"/>
      <c r="U69" s="292"/>
      <c r="V69" s="196"/>
      <c r="W69" s="196"/>
      <c r="X69" s="196"/>
      <c r="Y69" s="196"/>
      <c r="Z69" s="196"/>
      <c r="AA69" s="196"/>
      <c r="AB69" s="196"/>
      <c r="AC69" s="196"/>
      <c r="AD69" s="197"/>
    </row>
    <row r="70" spans="2:30" ht="13.8" thickBot="1">
      <c r="B70" s="221"/>
      <c r="C70" s="221"/>
      <c r="D70" s="221"/>
      <c r="E70" s="222"/>
      <c r="F70" s="222"/>
      <c r="G70" s="222"/>
      <c r="H70" s="222"/>
      <c r="I70" s="222"/>
      <c r="J70" s="222"/>
      <c r="K70" s="222"/>
      <c r="L70" s="184"/>
      <c r="M70" s="289"/>
      <c r="N70" s="293"/>
      <c r="O70" s="294"/>
      <c r="P70" s="294"/>
      <c r="Q70" s="295"/>
      <c r="R70" s="293"/>
      <c r="S70" s="294"/>
      <c r="T70" s="294"/>
      <c r="U70" s="295"/>
      <c r="V70" s="202"/>
      <c r="W70" s="202"/>
      <c r="X70" s="202"/>
      <c r="Y70" s="202"/>
      <c r="Z70" s="202"/>
      <c r="AA70" s="202"/>
      <c r="AB70" s="202"/>
      <c r="AC70" s="202"/>
      <c r="AD70" s="203"/>
    </row>
    <row r="71" spans="2:30">
      <c r="C71" s="22" t="s">
        <v>635</v>
      </c>
      <c r="Y71" s="285" t="s">
        <v>418</v>
      </c>
      <c r="Z71" s="285"/>
      <c r="AA71" s="285"/>
      <c r="AB71" s="285"/>
      <c r="AC71" s="285"/>
      <c r="AD71" s="285"/>
    </row>
    <row r="72" spans="2:30">
      <c r="B72" s="22" t="s">
        <v>417</v>
      </c>
      <c r="Y72" s="286"/>
      <c r="Z72" s="286"/>
      <c r="AA72" s="286"/>
      <c r="AB72" s="286"/>
      <c r="AC72" s="286"/>
      <c r="AD72" s="286"/>
    </row>
    <row r="74" spans="2:30" ht="21.6" customHeight="1" thickBot="1">
      <c r="C74" s="287" t="str">
        <f>$C$2</f>
        <v/>
      </c>
      <c r="D74" s="287"/>
      <c r="E74" s="287"/>
      <c r="F74" s="40" t="s">
        <v>499</v>
      </c>
      <c r="G74" s="40"/>
      <c r="H74" s="40"/>
      <c r="I74" s="40"/>
      <c r="J74" s="40"/>
      <c r="K74" s="40"/>
      <c r="L74" s="40"/>
      <c r="M74" s="40"/>
      <c r="N74" s="40"/>
      <c r="O74" s="40"/>
      <c r="P74" s="40"/>
      <c r="Q74" s="40"/>
      <c r="R74" s="40"/>
      <c r="S74" s="40"/>
      <c r="T74" s="40"/>
      <c r="U74" s="40"/>
      <c r="V74" s="40"/>
      <c r="W74" s="40"/>
      <c r="X74" s="40"/>
      <c r="Y74" s="40"/>
      <c r="Z74" s="40"/>
      <c r="AA74" s="40"/>
      <c r="AB74" s="40"/>
    </row>
    <row r="75" spans="2:30" ht="13.8" thickTop="1">
      <c r="AC75" s="181" t="s">
        <v>371</v>
      </c>
      <c r="AD75" s="181"/>
    </row>
    <row r="76" spans="2:30" ht="13.2" customHeight="1">
      <c r="B76" s="288">
        <f>B4</f>
        <v>46133</v>
      </c>
      <c r="C76" s="184"/>
      <c r="D76" s="184"/>
      <c r="E76" s="184"/>
      <c r="F76" s="184"/>
      <c r="G76" s="184"/>
      <c r="H76" s="184"/>
      <c r="I76" s="184"/>
      <c r="J76" s="184"/>
      <c r="K76" s="184"/>
      <c r="L76" s="184"/>
      <c r="M76" s="184"/>
      <c r="N76" s="184"/>
      <c r="O76" s="184"/>
      <c r="P76" s="184"/>
      <c r="R76" s="41"/>
      <c r="S76" s="41"/>
      <c r="T76" s="14"/>
      <c r="U76" s="13"/>
      <c r="V76" s="13"/>
      <c r="W76" s="184" t="s">
        <v>498</v>
      </c>
      <c r="X76" s="184"/>
      <c r="Y76" s="184"/>
      <c r="Z76" s="184"/>
      <c r="AA76" s="184"/>
      <c r="AB76" s="184"/>
      <c r="AC76" s="184"/>
      <c r="AD76" s="184"/>
    </row>
    <row r="77" spans="2:30">
      <c r="B77" s="184"/>
      <c r="C77" s="184"/>
      <c r="D77" s="184"/>
      <c r="E77" s="184"/>
      <c r="F77" s="184"/>
      <c r="G77" s="184"/>
      <c r="H77" s="184"/>
      <c r="I77" s="184"/>
      <c r="J77" s="184"/>
      <c r="K77" s="184"/>
      <c r="L77" s="184"/>
      <c r="M77" s="184"/>
      <c r="N77" s="184"/>
      <c r="O77" s="184"/>
      <c r="P77" s="184"/>
      <c r="R77" s="41"/>
      <c r="S77" s="41"/>
      <c r="T77" s="13"/>
      <c r="U77" s="13"/>
      <c r="V77" s="13"/>
      <c r="W77" s="184"/>
      <c r="X77" s="184"/>
      <c r="Y77" s="184"/>
      <c r="Z77" s="184"/>
      <c r="AA77" s="184"/>
      <c r="AB77" s="184"/>
      <c r="AC77" s="184"/>
      <c r="AD77" s="184"/>
    </row>
    <row r="78" spans="2:30" ht="13.2" customHeight="1">
      <c r="B78" s="195" t="str">
        <f>B6</f>
        <v>首都圏オフィス</v>
      </c>
      <c r="C78" s="196"/>
      <c r="D78" s="196"/>
      <c r="E78" s="196"/>
      <c r="F78" s="196"/>
      <c r="G78" s="196"/>
      <c r="H78" s="197"/>
      <c r="I78" s="219" t="s">
        <v>410</v>
      </c>
      <c r="J78" s="220" t="e" vm="1">
        <v>#VALUE!</v>
      </c>
      <c r="K78" s="220"/>
      <c r="L78" s="220"/>
      <c r="M78" s="219" t="s">
        <v>409</v>
      </c>
      <c r="N78" s="184"/>
      <c r="O78" s="184"/>
      <c r="P78" s="184"/>
      <c r="W78" s="219" t="s">
        <v>410</v>
      </c>
      <c r="X78" s="184"/>
      <c r="Y78" s="184"/>
      <c r="Z78" s="184"/>
      <c r="AA78" s="219" t="s">
        <v>409</v>
      </c>
      <c r="AB78" s="184"/>
      <c r="AC78" s="184"/>
      <c r="AD78" s="184"/>
    </row>
    <row r="79" spans="2:30" ht="13.05" customHeight="1">
      <c r="B79" s="198"/>
      <c r="C79" s="199"/>
      <c r="D79" s="199"/>
      <c r="E79" s="199"/>
      <c r="F79" s="199"/>
      <c r="G79" s="199"/>
      <c r="H79" s="200"/>
      <c r="I79" s="219"/>
      <c r="J79" s="220"/>
      <c r="K79" s="220"/>
      <c r="L79" s="220"/>
      <c r="M79" s="219"/>
      <c r="N79" s="184"/>
      <c r="O79" s="184"/>
      <c r="P79" s="184"/>
      <c r="W79" s="219"/>
      <c r="X79" s="184"/>
      <c r="Y79" s="184"/>
      <c r="Z79" s="184"/>
      <c r="AA79" s="219"/>
      <c r="AB79" s="184"/>
      <c r="AC79" s="184"/>
      <c r="AD79" s="184"/>
    </row>
    <row r="80" spans="2:30" ht="13.05" customHeight="1">
      <c r="B80" s="198"/>
      <c r="C80" s="199"/>
      <c r="D80" s="199"/>
      <c r="E80" s="199"/>
      <c r="F80" s="199"/>
      <c r="G80" s="199"/>
      <c r="H80" s="200"/>
      <c r="I80" s="219"/>
      <c r="J80" s="220"/>
      <c r="K80" s="220"/>
      <c r="L80" s="220"/>
      <c r="M80" s="219"/>
      <c r="N80" s="184"/>
      <c r="O80" s="184"/>
      <c r="P80" s="184"/>
      <c r="W80" s="219"/>
      <c r="X80" s="184"/>
      <c r="Y80" s="184"/>
      <c r="Z80" s="184"/>
      <c r="AA80" s="219"/>
      <c r="AB80" s="184"/>
      <c r="AC80" s="184"/>
      <c r="AD80" s="184"/>
    </row>
    <row r="81" spans="2:30" ht="13.05" customHeight="1">
      <c r="B81" s="201"/>
      <c r="C81" s="202"/>
      <c r="D81" s="202"/>
      <c r="E81" s="202"/>
      <c r="F81" s="202"/>
      <c r="G81" s="202"/>
      <c r="H81" s="203"/>
      <c r="I81" s="219"/>
      <c r="J81" s="220"/>
      <c r="K81" s="220"/>
      <c r="L81" s="220"/>
      <c r="M81" s="219"/>
      <c r="N81" s="184"/>
      <c r="O81" s="184"/>
      <c r="P81" s="184"/>
      <c r="W81" s="219"/>
      <c r="X81" s="184"/>
      <c r="Y81" s="184"/>
      <c r="Z81" s="184"/>
      <c r="AA81" s="219"/>
      <c r="AB81" s="184"/>
      <c r="AC81" s="184"/>
      <c r="AD81" s="184"/>
    </row>
    <row r="82" spans="2:30">
      <c r="S82" s="22" t="s">
        <v>306</v>
      </c>
    </row>
    <row r="83" spans="2:30" ht="13.2" customHeight="1">
      <c r="B83" s="204" t="s">
        <v>298</v>
      </c>
      <c r="C83" s="204"/>
      <c r="D83" s="204"/>
      <c r="E83" s="204"/>
      <c r="F83" s="204"/>
      <c r="G83" s="204"/>
      <c r="H83" s="204"/>
      <c r="I83" s="204"/>
      <c r="J83" s="204"/>
      <c r="K83" s="204"/>
      <c r="L83" s="206" t="s">
        <v>297</v>
      </c>
      <c r="M83" s="206"/>
      <c r="N83" s="208" t="s">
        <v>296</v>
      </c>
      <c r="O83" s="208"/>
      <c r="P83" s="208"/>
      <c r="Q83" s="208"/>
      <c r="R83" s="208"/>
      <c r="S83" s="208"/>
      <c r="T83" s="208"/>
      <c r="U83" s="208"/>
      <c r="V83" s="209" t="s">
        <v>420</v>
      </c>
      <c r="W83" s="210"/>
      <c r="X83" s="210"/>
      <c r="Y83" s="210"/>
      <c r="Z83" s="210"/>
      <c r="AA83" s="210"/>
      <c r="AB83" s="210"/>
      <c r="AC83" s="210"/>
      <c r="AD83" s="211"/>
    </row>
    <row r="84" spans="2:30" ht="13.2" customHeight="1">
      <c r="B84" s="204"/>
      <c r="C84" s="204"/>
      <c r="D84" s="204"/>
      <c r="E84" s="204"/>
      <c r="F84" s="204"/>
      <c r="G84" s="204"/>
      <c r="H84" s="204"/>
      <c r="I84" s="204"/>
      <c r="J84" s="204"/>
      <c r="K84" s="204"/>
      <c r="L84" s="206"/>
      <c r="M84" s="206"/>
      <c r="N84" s="208"/>
      <c r="O84" s="208"/>
      <c r="P84" s="208"/>
      <c r="Q84" s="208"/>
      <c r="R84" s="208"/>
      <c r="S84" s="208"/>
      <c r="T84" s="208"/>
      <c r="U84" s="208"/>
      <c r="V84" s="212"/>
      <c r="W84" s="213"/>
      <c r="X84" s="213"/>
      <c r="Y84" s="213"/>
      <c r="Z84" s="213"/>
      <c r="AA84" s="213"/>
      <c r="AB84" s="213"/>
      <c r="AC84" s="213"/>
      <c r="AD84" s="214"/>
    </row>
    <row r="85" spans="2:30" ht="13.2" customHeight="1">
      <c r="B85" s="204"/>
      <c r="C85" s="204"/>
      <c r="D85" s="204"/>
      <c r="E85" s="204"/>
      <c r="F85" s="204"/>
      <c r="G85" s="204"/>
      <c r="H85" s="204"/>
      <c r="I85" s="204"/>
      <c r="J85" s="204"/>
      <c r="K85" s="204"/>
      <c r="L85" s="206"/>
      <c r="M85" s="206"/>
      <c r="N85" s="208" t="s">
        <v>294</v>
      </c>
      <c r="O85" s="208"/>
      <c r="P85" s="208"/>
      <c r="Q85" s="208"/>
      <c r="R85" s="208" t="s">
        <v>293</v>
      </c>
      <c r="S85" s="208"/>
      <c r="T85" s="208"/>
      <c r="U85" s="208"/>
      <c r="V85" s="212"/>
      <c r="W85" s="213"/>
      <c r="X85" s="213"/>
      <c r="Y85" s="213"/>
      <c r="Z85" s="213"/>
      <c r="AA85" s="213"/>
      <c r="AB85" s="213"/>
      <c r="AC85" s="213"/>
      <c r="AD85" s="214"/>
    </row>
    <row r="86" spans="2:30" ht="13.95" customHeight="1" thickBot="1">
      <c r="B86" s="205"/>
      <c r="C86" s="205"/>
      <c r="D86" s="205"/>
      <c r="E86" s="205"/>
      <c r="F86" s="205"/>
      <c r="G86" s="205"/>
      <c r="H86" s="205"/>
      <c r="I86" s="205"/>
      <c r="J86" s="205"/>
      <c r="K86" s="205"/>
      <c r="L86" s="207"/>
      <c r="M86" s="207"/>
      <c r="N86" s="218"/>
      <c r="O86" s="218"/>
      <c r="P86" s="218"/>
      <c r="Q86" s="218"/>
      <c r="R86" s="218"/>
      <c r="S86" s="218"/>
      <c r="T86" s="218"/>
      <c r="U86" s="218"/>
      <c r="V86" s="215"/>
      <c r="W86" s="216"/>
      <c r="X86" s="216"/>
      <c r="Y86" s="216"/>
      <c r="Z86" s="216"/>
      <c r="AA86" s="216"/>
      <c r="AB86" s="216"/>
      <c r="AC86" s="216"/>
      <c r="AD86" s="217"/>
    </row>
    <row r="87" spans="2:30" ht="13.8" thickTop="1">
      <c r="B87" s="177" t="s">
        <v>497</v>
      </c>
      <c r="C87" s="178"/>
      <c r="D87" s="178"/>
      <c r="E87" s="178"/>
      <c r="F87" s="178"/>
      <c r="G87" s="178"/>
      <c r="H87" s="178"/>
      <c r="I87" s="178"/>
      <c r="J87" s="178"/>
      <c r="K87" s="179"/>
      <c r="L87" s="183"/>
      <c r="M87" s="183"/>
      <c r="N87" s="183"/>
      <c r="O87" s="183"/>
      <c r="P87" s="183"/>
      <c r="Q87" s="183"/>
      <c r="R87" s="183"/>
      <c r="S87" s="183"/>
      <c r="T87" s="183"/>
      <c r="U87" s="183"/>
      <c r="V87" s="187"/>
      <c r="W87" s="188"/>
      <c r="X87" s="188"/>
      <c r="Y87" s="188"/>
      <c r="Z87" s="188"/>
      <c r="AA87" s="188"/>
      <c r="AB87" s="188"/>
      <c r="AC87" s="188"/>
      <c r="AD87" s="189"/>
    </row>
    <row r="88" spans="2:30">
      <c r="B88" s="180"/>
      <c r="C88" s="181"/>
      <c r="D88" s="181"/>
      <c r="E88" s="181"/>
      <c r="F88" s="181"/>
      <c r="G88" s="181"/>
      <c r="H88" s="181"/>
      <c r="I88" s="181"/>
      <c r="J88" s="181"/>
      <c r="K88" s="182"/>
      <c r="L88" s="184"/>
      <c r="M88" s="184"/>
      <c r="N88" s="296"/>
      <c r="O88" s="296"/>
      <c r="P88" s="296"/>
      <c r="Q88" s="296"/>
      <c r="R88" s="296"/>
      <c r="S88" s="296"/>
      <c r="T88" s="296"/>
      <c r="U88" s="296"/>
      <c r="V88" s="190"/>
      <c r="W88" s="191"/>
      <c r="X88" s="191"/>
      <c r="Y88" s="191"/>
      <c r="Z88" s="191"/>
      <c r="AA88" s="191"/>
      <c r="AB88" s="191"/>
      <c r="AC88" s="191"/>
      <c r="AD88" s="192"/>
    </row>
    <row r="89" spans="2:30">
      <c r="B89" s="223" t="s">
        <v>541</v>
      </c>
      <c r="C89" s="223"/>
      <c r="D89" s="223"/>
      <c r="E89" s="224" t="s">
        <v>540</v>
      </c>
      <c r="F89" s="224"/>
      <c r="G89" s="224"/>
      <c r="H89" s="224"/>
      <c r="I89" s="224"/>
      <c r="J89" s="224"/>
      <c r="K89" s="224"/>
      <c r="L89" s="225" t="s">
        <v>446</v>
      </c>
      <c r="M89" s="225"/>
      <c r="N89" s="204">
        <v>0</v>
      </c>
      <c r="O89" s="204"/>
      <c r="P89" s="204"/>
      <c r="Q89" s="204"/>
      <c r="R89" s="204">
        <v>0</v>
      </c>
      <c r="S89" s="204"/>
      <c r="T89" s="204"/>
      <c r="U89" s="204"/>
      <c r="V89" s="227"/>
      <c r="W89" s="228"/>
      <c r="X89" s="228"/>
      <c r="Y89" s="228"/>
      <c r="Z89" s="228"/>
      <c r="AA89" s="228"/>
      <c r="AB89" s="228"/>
      <c r="AC89" s="228"/>
      <c r="AD89" s="229"/>
    </row>
    <row r="90" spans="2:30">
      <c r="B90" s="223"/>
      <c r="C90" s="223"/>
      <c r="D90" s="223"/>
      <c r="E90" s="224"/>
      <c r="F90" s="224"/>
      <c r="G90" s="224"/>
      <c r="H90" s="224"/>
      <c r="I90" s="224"/>
      <c r="J90" s="224"/>
      <c r="K90" s="224"/>
      <c r="L90" s="225"/>
      <c r="M90" s="225"/>
      <c r="N90" s="204"/>
      <c r="O90" s="204"/>
      <c r="P90" s="204"/>
      <c r="Q90" s="204"/>
      <c r="R90" s="204"/>
      <c r="S90" s="204"/>
      <c r="T90" s="204"/>
      <c r="U90" s="204"/>
      <c r="V90" s="230"/>
      <c r="W90" s="231"/>
      <c r="X90" s="231"/>
      <c r="Y90" s="231"/>
      <c r="Z90" s="231"/>
      <c r="AA90" s="231"/>
      <c r="AB90" s="231"/>
      <c r="AC90" s="231"/>
      <c r="AD90" s="232"/>
    </row>
    <row r="91" spans="2:30" ht="13.05" customHeight="1">
      <c r="B91" s="223" t="s">
        <v>539</v>
      </c>
      <c r="C91" s="223"/>
      <c r="D91" s="223"/>
      <c r="E91" s="224" t="s">
        <v>538</v>
      </c>
      <c r="F91" s="224"/>
      <c r="G91" s="224"/>
      <c r="H91" s="224"/>
      <c r="I91" s="224"/>
      <c r="J91" s="224"/>
      <c r="K91" s="224"/>
      <c r="L91" s="225" t="s">
        <v>446</v>
      </c>
      <c r="M91" s="225"/>
      <c r="N91" s="204">
        <v>0</v>
      </c>
      <c r="O91" s="204"/>
      <c r="P91" s="204"/>
      <c r="Q91" s="204"/>
      <c r="R91" s="204">
        <v>0</v>
      </c>
      <c r="S91" s="204"/>
      <c r="T91" s="204"/>
      <c r="U91" s="204"/>
      <c r="V91" s="227"/>
      <c r="W91" s="228"/>
      <c r="X91" s="228"/>
      <c r="Y91" s="228"/>
      <c r="Z91" s="228"/>
      <c r="AA91" s="228"/>
      <c r="AB91" s="228"/>
      <c r="AC91" s="228"/>
      <c r="AD91" s="229"/>
    </row>
    <row r="92" spans="2:30" ht="13.05" customHeight="1">
      <c r="B92" s="223"/>
      <c r="C92" s="223"/>
      <c r="D92" s="223"/>
      <c r="E92" s="224"/>
      <c r="F92" s="224"/>
      <c r="G92" s="224"/>
      <c r="H92" s="224"/>
      <c r="I92" s="224"/>
      <c r="J92" s="224"/>
      <c r="K92" s="224"/>
      <c r="L92" s="225"/>
      <c r="M92" s="225"/>
      <c r="N92" s="204"/>
      <c r="O92" s="204"/>
      <c r="P92" s="204"/>
      <c r="Q92" s="204"/>
      <c r="R92" s="204"/>
      <c r="S92" s="204"/>
      <c r="T92" s="204"/>
      <c r="U92" s="204"/>
      <c r="V92" s="230"/>
      <c r="W92" s="231"/>
      <c r="X92" s="231"/>
      <c r="Y92" s="231"/>
      <c r="Z92" s="231"/>
      <c r="AA92" s="231"/>
      <c r="AB92" s="231"/>
      <c r="AC92" s="231"/>
      <c r="AD92" s="232"/>
    </row>
    <row r="93" spans="2:30" ht="13.05" customHeight="1">
      <c r="B93" s="223" t="s">
        <v>537</v>
      </c>
      <c r="C93" s="223"/>
      <c r="D93" s="223"/>
      <c r="E93" s="224" t="s">
        <v>536</v>
      </c>
      <c r="F93" s="224"/>
      <c r="G93" s="224"/>
      <c r="H93" s="224"/>
      <c r="I93" s="224"/>
      <c r="J93" s="224"/>
      <c r="K93" s="224"/>
      <c r="L93" s="225" t="s">
        <v>446</v>
      </c>
      <c r="M93" s="225"/>
      <c r="N93" s="204">
        <v>0</v>
      </c>
      <c r="O93" s="204"/>
      <c r="P93" s="204"/>
      <c r="Q93" s="204"/>
      <c r="R93" s="204">
        <v>0</v>
      </c>
      <c r="S93" s="204"/>
      <c r="T93" s="204"/>
      <c r="U93" s="204"/>
      <c r="V93" s="227"/>
      <c r="W93" s="228"/>
      <c r="X93" s="228"/>
      <c r="Y93" s="228"/>
      <c r="Z93" s="228"/>
      <c r="AA93" s="228"/>
      <c r="AB93" s="228"/>
      <c r="AC93" s="228"/>
      <c r="AD93" s="229"/>
    </row>
    <row r="94" spans="2:30" ht="13.05" customHeight="1">
      <c r="B94" s="223"/>
      <c r="C94" s="223"/>
      <c r="D94" s="223"/>
      <c r="E94" s="224"/>
      <c r="F94" s="224"/>
      <c r="G94" s="224"/>
      <c r="H94" s="224"/>
      <c r="I94" s="224"/>
      <c r="J94" s="224"/>
      <c r="K94" s="224"/>
      <c r="L94" s="225"/>
      <c r="M94" s="225"/>
      <c r="N94" s="204"/>
      <c r="O94" s="204"/>
      <c r="P94" s="204"/>
      <c r="Q94" s="204"/>
      <c r="R94" s="204"/>
      <c r="S94" s="204"/>
      <c r="T94" s="204"/>
      <c r="U94" s="204"/>
      <c r="V94" s="230"/>
      <c r="W94" s="231"/>
      <c r="X94" s="231"/>
      <c r="Y94" s="231"/>
      <c r="Z94" s="231"/>
      <c r="AA94" s="231"/>
      <c r="AB94" s="231"/>
      <c r="AC94" s="231"/>
      <c r="AD94" s="232"/>
    </row>
    <row r="95" spans="2:30" ht="13.05" customHeight="1">
      <c r="B95" s="223" t="s">
        <v>535</v>
      </c>
      <c r="C95" s="223"/>
      <c r="D95" s="223"/>
      <c r="E95" s="224" t="s">
        <v>534</v>
      </c>
      <c r="F95" s="224"/>
      <c r="G95" s="224"/>
      <c r="H95" s="224"/>
      <c r="I95" s="224"/>
      <c r="J95" s="224"/>
      <c r="K95" s="224"/>
      <c r="L95" s="225" t="s">
        <v>446</v>
      </c>
      <c r="M95" s="225"/>
      <c r="N95" s="204">
        <v>0</v>
      </c>
      <c r="O95" s="204"/>
      <c r="P95" s="204"/>
      <c r="Q95" s="204"/>
      <c r="R95" s="204">
        <v>0</v>
      </c>
      <c r="S95" s="204"/>
      <c r="T95" s="204"/>
      <c r="U95" s="204"/>
      <c r="V95" s="227"/>
      <c r="W95" s="228"/>
      <c r="X95" s="228"/>
      <c r="Y95" s="228"/>
      <c r="Z95" s="228"/>
      <c r="AA95" s="228"/>
      <c r="AB95" s="228"/>
      <c r="AC95" s="228"/>
      <c r="AD95" s="229"/>
    </row>
    <row r="96" spans="2:30" ht="13.05" customHeight="1">
      <c r="B96" s="223"/>
      <c r="C96" s="223"/>
      <c r="D96" s="223"/>
      <c r="E96" s="224"/>
      <c r="F96" s="224"/>
      <c r="G96" s="224"/>
      <c r="H96" s="224"/>
      <c r="I96" s="224"/>
      <c r="J96" s="224"/>
      <c r="K96" s="224"/>
      <c r="L96" s="225"/>
      <c r="M96" s="225"/>
      <c r="N96" s="204"/>
      <c r="O96" s="204"/>
      <c r="P96" s="204"/>
      <c r="Q96" s="204"/>
      <c r="R96" s="204"/>
      <c r="S96" s="204"/>
      <c r="T96" s="204"/>
      <c r="U96" s="204"/>
      <c r="V96" s="230"/>
      <c r="W96" s="231"/>
      <c r="X96" s="231"/>
      <c r="Y96" s="231"/>
      <c r="Z96" s="231"/>
      <c r="AA96" s="231"/>
      <c r="AB96" s="231"/>
      <c r="AC96" s="231"/>
      <c r="AD96" s="232"/>
    </row>
    <row r="97" spans="2:30" ht="13.05" customHeight="1">
      <c r="B97" s="223" t="s">
        <v>533</v>
      </c>
      <c r="C97" s="223"/>
      <c r="D97" s="223"/>
      <c r="E97" s="224" t="s">
        <v>532</v>
      </c>
      <c r="F97" s="224"/>
      <c r="G97" s="224"/>
      <c r="H97" s="224"/>
      <c r="I97" s="224"/>
      <c r="J97" s="224"/>
      <c r="K97" s="224"/>
      <c r="L97" s="225" t="s">
        <v>446</v>
      </c>
      <c r="M97" s="225"/>
      <c r="N97" s="204">
        <v>0</v>
      </c>
      <c r="O97" s="204"/>
      <c r="P97" s="204"/>
      <c r="Q97" s="204"/>
      <c r="R97" s="204">
        <v>0</v>
      </c>
      <c r="S97" s="204"/>
      <c r="T97" s="204"/>
      <c r="U97" s="204"/>
      <c r="V97" s="227"/>
      <c r="W97" s="228"/>
      <c r="X97" s="228"/>
      <c r="Y97" s="228"/>
      <c r="Z97" s="228"/>
      <c r="AA97" s="228"/>
      <c r="AB97" s="228"/>
      <c r="AC97" s="228"/>
      <c r="AD97" s="229"/>
    </row>
    <row r="98" spans="2:30" ht="13.05" customHeight="1">
      <c r="B98" s="223"/>
      <c r="C98" s="223"/>
      <c r="D98" s="223"/>
      <c r="E98" s="224"/>
      <c r="F98" s="224"/>
      <c r="G98" s="224"/>
      <c r="H98" s="224"/>
      <c r="I98" s="224"/>
      <c r="J98" s="224"/>
      <c r="K98" s="224"/>
      <c r="L98" s="225"/>
      <c r="M98" s="225"/>
      <c r="N98" s="204"/>
      <c r="O98" s="204"/>
      <c r="P98" s="204"/>
      <c r="Q98" s="204"/>
      <c r="R98" s="204"/>
      <c r="S98" s="204"/>
      <c r="T98" s="204"/>
      <c r="U98" s="204"/>
      <c r="V98" s="230"/>
      <c r="W98" s="231"/>
      <c r="X98" s="231"/>
      <c r="Y98" s="231"/>
      <c r="Z98" s="231"/>
      <c r="AA98" s="231"/>
      <c r="AB98" s="231"/>
      <c r="AC98" s="231"/>
      <c r="AD98" s="232"/>
    </row>
    <row r="99" spans="2:30" ht="13.05" customHeight="1">
      <c r="B99" s="223" t="s">
        <v>531</v>
      </c>
      <c r="C99" s="223"/>
      <c r="D99" s="223"/>
      <c r="E99" s="224" t="s">
        <v>530</v>
      </c>
      <c r="F99" s="224"/>
      <c r="G99" s="224"/>
      <c r="H99" s="224"/>
      <c r="I99" s="224"/>
      <c r="J99" s="224"/>
      <c r="K99" s="224"/>
      <c r="L99" s="225" t="s">
        <v>446</v>
      </c>
      <c r="M99" s="225"/>
      <c r="N99" s="204">
        <v>0</v>
      </c>
      <c r="O99" s="204"/>
      <c r="P99" s="204"/>
      <c r="Q99" s="204"/>
      <c r="R99" s="204">
        <v>0</v>
      </c>
      <c r="S99" s="204"/>
      <c r="T99" s="204"/>
      <c r="U99" s="204"/>
      <c r="V99" s="227"/>
      <c r="W99" s="228"/>
      <c r="X99" s="228"/>
      <c r="Y99" s="228"/>
      <c r="Z99" s="228"/>
      <c r="AA99" s="228"/>
      <c r="AB99" s="228"/>
      <c r="AC99" s="228"/>
      <c r="AD99" s="229"/>
    </row>
    <row r="100" spans="2:30" ht="13.05" customHeight="1">
      <c r="B100" s="223"/>
      <c r="C100" s="223"/>
      <c r="D100" s="223"/>
      <c r="E100" s="224"/>
      <c r="F100" s="224"/>
      <c r="G100" s="224"/>
      <c r="H100" s="224"/>
      <c r="I100" s="224"/>
      <c r="J100" s="224"/>
      <c r="K100" s="224"/>
      <c r="L100" s="225"/>
      <c r="M100" s="225"/>
      <c r="N100" s="204"/>
      <c r="O100" s="204"/>
      <c r="P100" s="204"/>
      <c r="Q100" s="204"/>
      <c r="R100" s="204"/>
      <c r="S100" s="204"/>
      <c r="T100" s="204"/>
      <c r="U100" s="204"/>
      <c r="V100" s="230"/>
      <c r="W100" s="231"/>
      <c r="X100" s="231"/>
      <c r="Y100" s="231"/>
      <c r="Z100" s="231"/>
      <c r="AA100" s="231"/>
      <c r="AB100" s="231"/>
      <c r="AC100" s="231"/>
      <c r="AD100" s="232"/>
    </row>
    <row r="101" spans="2:30" ht="13.05" customHeight="1">
      <c r="B101" s="223" t="s">
        <v>529</v>
      </c>
      <c r="C101" s="223"/>
      <c r="D101" s="223"/>
      <c r="E101" s="224" t="s">
        <v>528</v>
      </c>
      <c r="F101" s="224"/>
      <c r="G101" s="224"/>
      <c r="H101" s="224"/>
      <c r="I101" s="224"/>
      <c r="J101" s="224"/>
      <c r="K101" s="224"/>
      <c r="L101" s="225" t="s">
        <v>428</v>
      </c>
      <c r="M101" s="225"/>
      <c r="N101" s="204">
        <v>0</v>
      </c>
      <c r="O101" s="204"/>
      <c r="P101" s="204"/>
      <c r="Q101" s="204"/>
      <c r="R101" s="204">
        <v>0</v>
      </c>
      <c r="S101" s="204"/>
      <c r="T101" s="204"/>
      <c r="U101" s="204"/>
      <c r="V101" s="227"/>
      <c r="W101" s="228"/>
      <c r="X101" s="228"/>
      <c r="Y101" s="228"/>
      <c r="Z101" s="228"/>
      <c r="AA101" s="228"/>
      <c r="AB101" s="228"/>
      <c r="AC101" s="228"/>
      <c r="AD101" s="229"/>
    </row>
    <row r="102" spans="2:30" ht="13.05" customHeight="1">
      <c r="B102" s="223"/>
      <c r="C102" s="223"/>
      <c r="D102" s="223"/>
      <c r="E102" s="224"/>
      <c r="F102" s="224"/>
      <c r="G102" s="224"/>
      <c r="H102" s="224"/>
      <c r="I102" s="224"/>
      <c r="J102" s="224"/>
      <c r="K102" s="224"/>
      <c r="L102" s="225"/>
      <c r="M102" s="225"/>
      <c r="N102" s="204"/>
      <c r="O102" s="204"/>
      <c r="P102" s="204"/>
      <c r="Q102" s="204"/>
      <c r="R102" s="204"/>
      <c r="S102" s="204"/>
      <c r="T102" s="204"/>
      <c r="U102" s="204"/>
      <c r="V102" s="230"/>
      <c r="W102" s="231"/>
      <c r="X102" s="231"/>
      <c r="Y102" s="231"/>
      <c r="Z102" s="231"/>
      <c r="AA102" s="231"/>
      <c r="AB102" s="231"/>
      <c r="AC102" s="231"/>
      <c r="AD102" s="232"/>
    </row>
    <row r="103" spans="2:30" ht="13.05" customHeight="1">
      <c r="B103" s="223" t="s">
        <v>527</v>
      </c>
      <c r="C103" s="223"/>
      <c r="D103" s="223"/>
      <c r="E103" s="224" t="s">
        <v>526</v>
      </c>
      <c r="F103" s="224"/>
      <c r="G103" s="224"/>
      <c r="H103" s="224"/>
      <c r="I103" s="224"/>
      <c r="J103" s="224"/>
      <c r="K103" s="224"/>
      <c r="L103" s="225" t="s">
        <v>428</v>
      </c>
      <c r="M103" s="225"/>
      <c r="N103" s="204">
        <v>0</v>
      </c>
      <c r="O103" s="204"/>
      <c r="P103" s="204"/>
      <c r="Q103" s="204"/>
      <c r="R103" s="204">
        <v>0</v>
      </c>
      <c r="S103" s="204"/>
      <c r="T103" s="204"/>
      <c r="U103" s="204"/>
      <c r="V103" s="227"/>
      <c r="W103" s="228"/>
      <c r="X103" s="228"/>
      <c r="Y103" s="228"/>
      <c r="Z103" s="228"/>
      <c r="AA103" s="228"/>
      <c r="AB103" s="228"/>
      <c r="AC103" s="228"/>
      <c r="AD103" s="229"/>
    </row>
    <row r="104" spans="2:30" ht="13.05" customHeight="1">
      <c r="B104" s="223"/>
      <c r="C104" s="223"/>
      <c r="D104" s="223"/>
      <c r="E104" s="224"/>
      <c r="F104" s="224"/>
      <c r="G104" s="224"/>
      <c r="H104" s="224"/>
      <c r="I104" s="224"/>
      <c r="J104" s="224"/>
      <c r="K104" s="224"/>
      <c r="L104" s="225"/>
      <c r="M104" s="225"/>
      <c r="N104" s="204"/>
      <c r="O104" s="204"/>
      <c r="P104" s="204"/>
      <c r="Q104" s="204"/>
      <c r="R104" s="204"/>
      <c r="S104" s="204"/>
      <c r="T104" s="204"/>
      <c r="U104" s="204"/>
      <c r="V104" s="230"/>
      <c r="W104" s="231"/>
      <c r="X104" s="231"/>
      <c r="Y104" s="231"/>
      <c r="Z104" s="231"/>
      <c r="AA104" s="231"/>
      <c r="AB104" s="231"/>
      <c r="AC104" s="231"/>
      <c r="AD104" s="232"/>
    </row>
    <row r="105" spans="2:30" ht="13.05" customHeight="1">
      <c r="B105" s="297" t="s">
        <v>605</v>
      </c>
      <c r="C105" s="223"/>
      <c r="D105" s="223"/>
      <c r="E105" s="224" t="s">
        <v>525</v>
      </c>
      <c r="F105" s="224"/>
      <c r="G105" s="224"/>
      <c r="H105" s="224"/>
      <c r="I105" s="224"/>
      <c r="J105" s="224"/>
      <c r="K105" s="224"/>
      <c r="L105" s="225" t="s">
        <v>428</v>
      </c>
      <c r="M105" s="225"/>
      <c r="N105" s="204">
        <v>0</v>
      </c>
      <c r="O105" s="204"/>
      <c r="P105" s="204"/>
      <c r="Q105" s="204"/>
      <c r="R105" s="204">
        <v>0</v>
      </c>
      <c r="S105" s="204"/>
      <c r="T105" s="204"/>
      <c r="U105" s="204"/>
      <c r="V105" s="227"/>
      <c r="W105" s="228"/>
      <c r="X105" s="228"/>
      <c r="Y105" s="228"/>
      <c r="Z105" s="228"/>
      <c r="AA105" s="228"/>
      <c r="AB105" s="228"/>
      <c r="AC105" s="228"/>
      <c r="AD105" s="229"/>
    </row>
    <row r="106" spans="2:30" ht="13.05" customHeight="1">
      <c r="B106" s="223"/>
      <c r="C106" s="223"/>
      <c r="D106" s="223"/>
      <c r="E106" s="224"/>
      <c r="F106" s="224"/>
      <c r="G106" s="224"/>
      <c r="H106" s="224"/>
      <c r="I106" s="224"/>
      <c r="J106" s="224"/>
      <c r="K106" s="224"/>
      <c r="L106" s="225"/>
      <c r="M106" s="225"/>
      <c r="N106" s="204"/>
      <c r="O106" s="204"/>
      <c r="P106" s="204"/>
      <c r="Q106" s="204"/>
      <c r="R106" s="204"/>
      <c r="S106" s="204"/>
      <c r="T106" s="204"/>
      <c r="U106" s="204"/>
      <c r="V106" s="230"/>
      <c r="W106" s="231"/>
      <c r="X106" s="231"/>
      <c r="Y106" s="231"/>
      <c r="Z106" s="231"/>
      <c r="AA106" s="231"/>
      <c r="AB106" s="231"/>
      <c r="AC106" s="231"/>
      <c r="AD106" s="232"/>
    </row>
    <row r="107" spans="2:30" ht="13.05" customHeight="1">
      <c r="B107" s="223" t="s">
        <v>524</v>
      </c>
      <c r="C107" s="223"/>
      <c r="D107" s="223"/>
      <c r="E107" s="224" t="s">
        <v>523</v>
      </c>
      <c r="F107" s="224"/>
      <c r="G107" s="224"/>
      <c r="H107" s="224"/>
      <c r="I107" s="224"/>
      <c r="J107" s="224"/>
      <c r="K107" s="224"/>
      <c r="L107" s="225" t="s">
        <v>261</v>
      </c>
      <c r="M107" s="225"/>
      <c r="N107" s="204">
        <v>0</v>
      </c>
      <c r="O107" s="204"/>
      <c r="P107" s="204"/>
      <c r="Q107" s="204"/>
      <c r="R107" s="204">
        <v>0</v>
      </c>
      <c r="S107" s="204"/>
      <c r="T107" s="204"/>
      <c r="U107" s="204"/>
      <c r="V107" s="227"/>
      <c r="W107" s="228"/>
      <c r="X107" s="228"/>
      <c r="Y107" s="228"/>
      <c r="Z107" s="228"/>
      <c r="AA107" s="228"/>
      <c r="AB107" s="228"/>
      <c r="AC107" s="228"/>
      <c r="AD107" s="229"/>
    </row>
    <row r="108" spans="2:30" ht="13.05" customHeight="1">
      <c r="B108" s="223"/>
      <c r="C108" s="223"/>
      <c r="D108" s="223"/>
      <c r="E108" s="224"/>
      <c r="F108" s="224"/>
      <c r="G108" s="224"/>
      <c r="H108" s="224"/>
      <c r="I108" s="224"/>
      <c r="J108" s="224"/>
      <c r="K108" s="224"/>
      <c r="L108" s="225"/>
      <c r="M108" s="225"/>
      <c r="N108" s="204"/>
      <c r="O108" s="204"/>
      <c r="P108" s="204"/>
      <c r="Q108" s="204"/>
      <c r="R108" s="204"/>
      <c r="S108" s="204"/>
      <c r="T108" s="204"/>
      <c r="U108" s="204"/>
      <c r="V108" s="230"/>
      <c r="W108" s="231"/>
      <c r="X108" s="231"/>
      <c r="Y108" s="231"/>
      <c r="Z108" s="231"/>
      <c r="AA108" s="231"/>
      <c r="AB108" s="231"/>
      <c r="AC108" s="231"/>
      <c r="AD108" s="232"/>
    </row>
    <row r="109" spans="2:30" ht="13.05" customHeight="1">
      <c r="B109" s="223" t="s">
        <v>522</v>
      </c>
      <c r="C109" s="223"/>
      <c r="D109" s="223"/>
      <c r="E109" s="224" t="s">
        <v>521</v>
      </c>
      <c r="F109" s="224"/>
      <c r="G109" s="224"/>
      <c r="H109" s="224"/>
      <c r="I109" s="224"/>
      <c r="J109" s="224"/>
      <c r="K109" s="224"/>
      <c r="L109" s="225" t="s">
        <v>373</v>
      </c>
      <c r="M109" s="225"/>
      <c r="N109" s="204">
        <v>0</v>
      </c>
      <c r="O109" s="204"/>
      <c r="P109" s="204"/>
      <c r="Q109" s="204"/>
      <c r="R109" s="204">
        <v>0</v>
      </c>
      <c r="S109" s="204"/>
      <c r="T109" s="204"/>
      <c r="U109" s="204"/>
      <c r="V109" s="227"/>
      <c r="W109" s="228"/>
      <c r="X109" s="228"/>
      <c r="Y109" s="228"/>
      <c r="Z109" s="228"/>
      <c r="AA109" s="228"/>
      <c r="AB109" s="228"/>
      <c r="AC109" s="228"/>
      <c r="AD109" s="229"/>
    </row>
    <row r="110" spans="2:30" ht="13.05" customHeight="1">
      <c r="B110" s="223"/>
      <c r="C110" s="223"/>
      <c r="D110" s="223"/>
      <c r="E110" s="224"/>
      <c r="F110" s="224"/>
      <c r="G110" s="224"/>
      <c r="H110" s="224"/>
      <c r="I110" s="224"/>
      <c r="J110" s="224"/>
      <c r="K110" s="224"/>
      <c r="L110" s="225"/>
      <c r="M110" s="225"/>
      <c r="N110" s="204"/>
      <c r="O110" s="204"/>
      <c r="P110" s="204"/>
      <c r="Q110" s="204"/>
      <c r="R110" s="204"/>
      <c r="S110" s="204"/>
      <c r="T110" s="204"/>
      <c r="U110" s="204"/>
      <c r="V110" s="230"/>
      <c r="W110" s="231"/>
      <c r="X110" s="231"/>
      <c r="Y110" s="231"/>
      <c r="Z110" s="231"/>
      <c r="AA110" s="231"/>
      <c r="AB110" s="231"/>
      <c r="AC110" s="231"/>
      <c r="AD110" s="232"/>
    </row>
    <row r="111" spans="2:30" ht="13.05" customHeight="1">
      <c r="B111" s="298"/>
      <c r="C111" s="298"/>
      <c r="D111" s="298"/>
      <c r="E111" s="299" t="s">
        <v>606</v>
      </c>
      <c r="F111" s="299"/>
      <c r="G111" s="299"/>
      <c r="H111" s="299"/>
      <c r="I111" s="299"/>
      <c r="J111" s="299"/>
      <c r="K111" s="299"/>
      <c r="L111" s="300"/>
      <c r="M111" s="300"/>
      <c r="N111" s="204"/>
      <c r="O111" s="204"/>
      <c r="P111" s="204"/>
      <c r="Q111" s="204"/>
      <c r="R111" s="204"/>
      <c r="S111" s="204"/>
      <c r="T111" s="204"/>
      <c r="U111" s="204"/>
      <c r="V111" s="301"/>
      <c r="W111" s="302"/>
      <c r="X111" s="302"/>
      <c r="Y111" s="302"/>
      <c r="Z111" s="302"/>
      <c r="AA111" s="302"/>
      <c r="AB111" s="302"/>
      <c r="AC111" s="302"/>
      <c r="AD111" s="303"/>
    </row>
    <row r="112" spans="2:30" ht="13.05" customHeight="1">
      <c r="B112" s="298"/>
      <c r="C112" s="298"/>
      <c r="D112" s="298"/>
      <c r="E112" s="299"/>
      <c r="F112" s="299"/>
      <c r="G112" s="299"/>
      <c r="H112" s="299"/>
      <c r="I112" s="299"/>
      <c r="J112" s="299"/>
      <c r="K112" s="299"/>
      <c r="L112" s="300"/>
      <c r="M112" s="300"/>
      <c r="N112" s="204"/>
      <c r="O112" s="204"/>
      <c r="P112" s="204"/>
      <c r="Q112" s="204"/>
      <c r="R112" s="204"/>
      <c r="S112" s="204"/>
      <c r="T112" s="204"/>
      <c r="U112" s="204"/>
      <c r="V112" s="304"/>
      <c r="W112" s="305"/>
      <c r="X112" s="305"/>
      <c r="Y112" s="305"/>
      <c r="Z112" s="305"/>
      <c r="AA112" s="305"/>
      <c r="AB112" s="305"/>
      <c r="AC112" s="305"/>
      <c r="AD112" s="306"/>
    </row>
    <row r="113" spans="2:30">
      <c r="B113" s="223" t="s">
        <v>519</v>
      </c>
      <c r="C113" s="223"/>
      <c r="D113" s="223"/>
      <c r="E113" s="224" t="s">
        <v>518</v>
      </c>
      <c r="F113" s="224"/>
      <c r="G113" s="224"/>
      <c r="H113" s="224"/>
      <c r="I113" s="224"/>
      <c r="J113" s="224"/>
      <c r="K113" s="224"/>
      <c r="L113" s="225" t="s">
        <v>261</v>
      </c>
      <c r="M113" s="225"/>
      <c r="N113" s="204">
        <v>0</v>
      </c>
      <c r="O113" s="204"/>
      <c r="P113" s="204"/>
      <c r="Q113" s="204"/>
      <c r="R113" s="204">
        <v>0</v>
      </c>
      <c r="S113" s="204"/>
      <c r="T113" s="204"/>
      <c r="U113" s="204"/>
      <c r="V113" s="227"/>
      <c r="W113" s="228"/>
      <c r="X113" s="228"/>
      <c r="Y113" s="228"/>
      <c r="Z113" s="228"/>
      <c r="AA113" s="228"/>
      <c r="AB113" s="228"/>
      <c r="AC113" s="228"/>
      <c r="AD113" s="229"/>
    </row>
    <row r="114" spans="2:30">
      <c r="B114" s="223"/>
      <c r="C114" s="223"/>
      <c r="D114" s="223"/>
      <c r="E114" s="224"/>
      <c r="F114" s="224"/>
      <c r="G114" s="224"/>
      <c r="H114" s="224"/>
      <c r="I114" s="224"/>
      <c r="J114" s="224"/>
      <c r="K114" s="224"/>
      <c r="L114" s="225"/>
      <c r="M114" s="225"/>
      <c r="N114" s="204"/>
      <c r="O114" s="204"/>
      <c r="P114" s="204"/>
      <c r="Q114" s="204"/>
      <c r="R114" s="204"/>
      <c r="S114" s="204"/>
      <c r="T114" s="204"/>
      <c r="U114" s="204"/>
      <c r="V114" s="230"/>
      <c r="W114" s="231"/>
      <c r="X114" s="231"/>
      <c r="Y114" s="231"/>
      <c r="Z114" s="231"/>
      <c r="AA114" s="231"/>
      <c r="AB114" s="231"/>
      <c r="AC114" s="231"/>
      <c r="AD114" s="232"/>
    </row>
    <row r="115" spans="2:30">
      <c r="B115" s="223" t="s">
        <v>517</v>
      </c>
      <c r="C115" s="223"/>
      <c r="D115" s="223"/>
      <c r="E115" s="224" t="s">
        <v>516</v>
      </c>
      <c r="F115" s="224"/>
      <c r="G115" s="224"/>
      <c r="H115" s="224"/>
      <c r="I115" s="224"/>
      <c r="J115" s="224"/>
      <c r="K115" s="224"/>
      <c r="L115" s="225" t="s">
        <v>261</v>
      </c>
      <c r="M115" s="225"/>
      <c r="N115" s="204">
        <v>0</v>
      </c>
      <c r="O115" s="204"/>
      <c r="P115" s="204"/>
      <c r="Q115" s="204"/>
      <c r="R115" s="204">
        <v>0</v>
      </c>
      <c r="S115" s="204"/>
      <c r="T115" s="204"/>
      <c r="U115" s="204"/>
      <c r="V115" s="227"/>
      <c r="W115" s="228"/>
      <c r="X115" s="228"/>
      <c r="Y115" s="228"/>
      <c r="Z115" s="228"/>
      <c r="AA115" s="228"/>
      <c r="AB115" s="228"/>
      <c r="AC115" s="228"/>
      <c r="AD115" s="229"/>
    </row>
    <row r="116" spans="2:30">
      <c r="B116" s="223"/>
      <c r="C116" s="223"/>
      <c r="D116" s="223"/>
      <c r="E116" s="224"/>
      <c r="F116" s="224"/>
      <c r="G116" s="224"/>
      <c r="H116" s="224"/>
      <c r="I116" s="224"/>
      <c r="J116" s="224"/>
      <c r="K116" s="224"/>
      <c r="L116" s="225"/>
      <c r="M116" s="225"/>
      <c r="N116" s="204"/>
      <c r="O116" s="204"/>
      <c r="P116" s="204"/>
      <c r="Q116" s="204"/>
      <c r="R116" s="204"/>
      <c r="S116" s="204"/>
      <c r="T116" s="204"/>
      <c r="U116" s="204"/>
      <c r="V116" s="230"/>
      <c r="W116" s="231"/>
      <c r="X116" s="231"/>
      <c r="Y116" s="231"/>
      <c r="Z116" s="231"/>
      <c r="AA116" s="231"/>
      <c r="AB116" s="231"/>
      <c r="AC116" s="231"/>
      <c r="AD116" s="232"/>
    </row>
    <row r="117" spans="2:30">
      <c r="B117" s="223" t="s">
        <v>509</v>
      </c>
      <c r="C117" s="223"/>
      <c r="D117" s="223"/>
      <c r="E117" s="224" t="s">
        <v>508</v>
      </c>
      <c r="F117" s="224"/>
      <c r="G117" s="224"/>
      <c r="H117" s="224"/>
      <c r="I117" s="224"/>
      <c r="J117" s="224"/>
      <c r="K117" s="224"/>
      <c r="L117" s="225" t="s">
        <v>446</v>
      </c>
      <c r="M117" s="225"/>
      <c r="N117" s="204">
        <v>0</v>
      </c>
      <c r="O117" s="204"/>
      <c r="P117" s="204"/>
      <c r="Q117" s="204"/>
      <c r="R117" s="204">
        <v>0</v>
      </c>
      <c r="S117" s="204"/>
      <c r="T117" s="204"/>
      <c r="U117" s="204"/>
      <c r="V117" s="227"/>
      <c r="W117" s="228"/>
      <c r="X117" s="228"/>
      <c r="Y117" s="228"/>
      <c r="Z117" s="228"/>
      <c r="AA117" s="228"/>
      <c r="AB117" s="228"/>
      <c r="AC117" s="228"/>
      <c r="AD117" s="229"/>
    </row>
    <row r="118" spans="2:30">
      <c r="B118" s="223"/>
      <c r="C118" s="223"/>
      <c r="D118" s="223"/>
      <c r="E118" s="224"/>
      <c r="F118" s="224"/>
      <c r="G118" s="224"/>
      <c r="H118" s="224"/>
      <c r="I118" s="224"/>
      <c r="J118" s="224"/>
      <c r="K118" s="224"/>
      <c r="L118" s="225"/>
      <c r="M118" s="225"/>
      <c r="N118" s="204"/>
      <c r="O118" s="204"/>
      <c r="P118" s="204"/>
      <c r="Q118" s="204"/>
      <c r="R118" s="204"/>
      <c r="S118" s="204"/>
      <c r="T118" s="204"/>
      <c r="U118" s="204"/>
      <c r="V118" s="230"/>
      <c r="W118" s="231"/>
      <c r="X118" s="231"/>
      <c r="Y118" s="231"/>
      <c r="Z118" s="231"/>
      <c r="AA118" s="231"/>
      <c r="AB118" s="231"/>
      <c r="AC118" s="231"/>
      <c r="AD118" s="232"/>
    </row>
    <row r="119" spans="2:30" ht="13.05" customHeight="1">
      <c r="B119" s="223" t="s">
        <v>515</v>
      </c>
      <c r="C119" s="223"/>
      <c r="D119" s="223"/>
      <c r="E119" s="224" t="s">
        <v>514</v>
      </c>
      <c r="F119" s="224"/>
      <c r="G119" s="224"/>
      <c r="H119" s="224"/>
      <c r="I119" s="224"/>
      <c r="J119" s="224"/>
      <c r="K119" s="224"/>
      <c r="L119" s="225" t="s">
        <v>261</v>
      </c>
      <c r="M119" s="225"/>
      <c r="N119" s="204">
        <v>0</v>
      </c>
      <c r="O119" s="204"/>
      <c r="P119" s="204"/>
      <c r="Q119" s="204"/>
      <c r="R119" s="204">
        <v>0</v>
      </c>
      <c r="S119" s="204"/>
      <c r="T119" s="204"/>
      <c r="U119" s="204"/>
      <c r="V119" s="227"/>
      <c r="W119" s="228"/>
      <c r="X119" s="228"/>
      <c r="Y119" s="228"/>
      <c r="Z119" s="228"/>
      <c r="AA119" s="228"/>
      <c r="AB119" s="228"/>
      <c r="AC119" s="228"/>
      <c r="AD119" s="229"/>
    </row>
    <row r="120" spans="2:30" ht="13.05" customHeight="1">
      <c r="B120" s="223"/>
      <c r="C120" s="223"/>
      <c r="D120" s="223"/>
      <c r="E120" s="224"/>
      <c r="F120" s="224"/>
      <c r="G120" s="224"/>
      <c r="H120" s="224"/>
      <c r="I120" s="224"/>
      <c r="J120" s="224"/>
      <c r="K120" s="224"/>
      <c r="L120" s="225"/>
      <c r="M120" s="225"/>
      <c r="N120" s="204"/>
      <c r="O120" s="204"/>
      <c r="P120" s="204"/>
      <c r="Q120" s="204"/>
      <c r="R120" s="204"/>
      <c r="S120" s="204"/>
      <c r="T120" s="204"/>
      <c r="U120" s="204"/>
      <c r="V120" s="230"/>
      <c r="W120" s="231"/>
      <c r="X120" s="231"/>
      <c r="Y120" s="231"/>
      <c r="Z120" s="231"/>
      <c r="AA120" s="231"/>
      <c r="AB120" s="231"/>
      <c r="AC120" s="231"/>
      <c r="AD120" s="232"/>
    </row>
    <row r="121" spans="2:30">
      <c r="B121" s="223" t="s">
        <v>513</v>
      </c>
      <c r="C121" s="223"/>
      <c r="D121" s="223"/>
      <c r="E121" s="224" t="s">
        <v>512</v>
      </c>
      <c r="F121" s="224"/>
      <c r="G121" s="224"/>
      <c r="H121" s="224"/>
      <c r="I121" s="224"/>
      <c r="J121" s="224"/>
      <c r="K121" s="224"/>
      <c r="L121" s="225" t="s">
        <v>261</v>
      </c>
      <c r="M121" s="225"/>
      <c r="N121" s="204">
        <v>0</v>
      </c>
      <c r="O121" s="204"/>
      <c r="P121" s="204"/>
      <c r="Q121" s="204"/>
      <c r="R121" s="204">
        <v>0</v>
      </c>
      <c r="S121" s="204"/>
      <c r="T121" s="204"/>
      <c r="U121" s="204"/>
      <c r="V121" s="227"/>
      <c r="W121" s="228"/>
      <c r="X121" s="228"/>
      <c r="Y121" s="228"/>
      <c r="Z121" s="228"/>
      <c r="AA121" s="228"/>
      <c r="AB121" s="228"/>
      <c r="AC121" s="228"/>
      <c r="AD121" s="229"/>
    </row>
    <row r="122" spans="2:30">
      <c r="B122" s="223"/>
      <c r="C122" s="223"/>
      <c r="D122" s="223"/>
      <c r="E122" s="224"/>
      <c r="F122" s="224"/>
      <c r="G122" s="224"/>
      <c r="H122" s="224"/>
      <c r="I122" s="224"/>
      <c r="J122" s="224"/>
      <c r="K122" s="224"/>
      <c r="L122" s="225"/>
      <c r="M122" s="225"/>
      <c r="N122" s="204"/>
      <c r="O122" s="204"/>
      <c r="P122" s="204"/>
      <c r="Q122" s="204"/>
      <c r="R122" s="204"/>
      <c r="S122" s="204"/>
      <c r="T122" s="204"/>
      <c r="U122" s="204"/>
      <c r="V122" s="230"/>
      <c r="W122" s="231"/>
      <c r="X122" s="231"/>
      <c r="Y122" s="231"/>
      <c r="Z122" s="231"/>
      <c r="AA122" s="231"/>
      <c r="AB122" s="231"/>
      <c r="AC122" s="231"/>
      <c r="AD122" s="232"/>
    </row>
    <row r="123" spans="2:30" ht="13.05" customHeight="1">
      <c r="B123" s="223" t="s">
        <v>511</v>
      </c>
      <c r="C123" s="223"/>
      <c r="D123" s="223"/>
      <c r="E123" s="224" t="s">
        <v>510</v>
      </c>
      <c r="F123" s="224"/>
      <c r="G123" s="224"/>
      <c r="H123" s="224"/>
      <c r="I123" s="224"/>
      <c r="J123" s="224"/>
      <c r="K123" s="224"/>
      <c r="L123" s="225" t="s">
        <v>373</v>
      </c>
      <c r="M123" s="225"/>
      <c r="N123" s="204">
        <v>0</v>
      </c>
      <c r="O123" s="204"/>
      <c r="P123" s="204"/>
      <c r="Q123" s="204"/>
      <c r="R123" s="204">
        <v>0</v>
      </c>
      <c r="S123" s="204"/>
      <c r="T123" s="204"/>
      <c r="U123" s="204"/>
      <c r="V123" s="227"/>
      <c r="W123" s="228"/>
      <c r="X123" s="228"/>
      <c r="Y123" s="228"/>
      <c r="Z123" s="228"/>
      <c r="AA123" s="228"/>
      <c r="AB123" s="228"/>
      <c r="AC123" s="228"/>
      <c r="AD123" s="229"/>
    </row>
    <row r="124" spans="2:30" ht="13.05" customHeight="1">
      <c r="B124" s="223"/>
      <c r="C124" s="223"/>
      <c r="D124" s="223"/>
      <c r="E124" s="224"/>
      <c r="F124" s="224"/>
      <c r="G124" s="224"/>
      <c r="H124" s="224"/>
      <c r="I124" s="224"/>
      <c r="J124" s="224"/>
      <c r="K124" s="224"/>
      <c r="L124" s="225"/>
      <c r="M124" s="225"/>
      <c r="N124" s="204"/>
      <c r="O124" s="204"/>
      <c r="P124" s="204"/>
      <c r="Q124" s="204"/>
      <c r="R124" s="204"/>
      <c r="S124" s="204"/>
      <c r="T124" s="204"/>
      <c r="U124" s="204"/>
      <c r="V124" s="230"/>
      <c r="W124" s="231"/>
      <c r="X124" s="231"/>
      <c r="Y124" s="231"/>
      <c r="Z124" s="231"/>
      <c r="AA124" s="231"/>
      <c r="AB124" s="231"/>
      <c r="AC124" s="231"/>
      <c r="AD124" s="232"/>
    </row>
    <row r="125" spans="2:30">
      <c r="B125" s="223"/>
      <c r="C125" s="223"/>
      <c r="D125" s="223"/>
      <c r="E125" s="224"/>
      <c r="F125" s="224"/>
      <c r="G125" s="224"/>
      <c r="H125" s="224"/>
      <c r="I125" s="224"/>
      <c r="J125" s="224"/>
      <c r="K125" s="224"/>
      <c r="L125" s="225"/>
      <c r="M125" s="225"/>
      <c r="N125" s="204"/>
      <c r="O125" s="204"/>
      <c r="P125" s="204"/>
      <c r="Q125" s="204"/>
      <c r="R125" s="204"/>
      <c r="S125" s="204"/>
      <c r="T125" s="204"/>
      <c r="U125" s="204"/>
      <c r="V125" s="227"/>
      <c r="W125" s="228"/>
      <c r="X125" s="228"/>
      <c r="Y125" s="228"/>
      <c r="Z125" s="228"/>
      <c r="AA125" s="228"/>
      <c r="AB125" s="228"/>
      <c r="AC125" s="228"/>
      <c r="AD125" s="229"/>
    </row>
    <row r="126" spans="2:30">
      <c r="B126" s="223"/>
      <c r="C126" s="223"/>
      <c r="D126" s="223"/>
      <c r="E126" s="224"/>
      <c r="F126" s="224"/>
      <c r="G126" s="224"/>
      <c r="H126" s="224"/>
      <c r="I126" s="224"/>
      <c r="J126" s="224"/>
      <c r="K126" s="224"/>
      <c r="L126" s="225"/>
      <c r="M126" s="225"/>
      <c r="N126" s="204"/>
      <c r="O126" s="204"/>
      <c r="P126" s="204"/>
      <c r="Q126" s="204"/>
      <c r="R126" s="204"/>
      <c r="S126" s="204"/>
      <c r="T126" s="204"/>
      <c r="U126" s="204"/>
      <c r="V126" s="230"/>
      <c r="W126" s="231"/>
      <c r="X126" s="231"/>
      <c r="Y126" s="231"/>
      <c r="Z126" s="231"/>
      <c r="AA126" s="231"/>
      <c r="AB126" s="231"/>
      <c r="AC126" s="231"/>
      <c r="AD126" s="232"/>
    </row>
    <row r="127" spans="2:30">
      <c r="B127" s="223" t="s">
        <v>507</v>
      </c>
      <c r="C127" s="223"/>
      <c r="D127" s="223"/>
      <c r="E127" s="224" t="s">
        <v>506</v>
      </c>
      <c r="F127" s="224"/>
      <c r="G127" s="224"/>
      <c r="H127" s="224"/>
      <c r="I127" s="224"/>
      <c r="J127" s="224"/>
      <c r="K127" s="224"/>
      <c r="L127" s="225" t="s">
        <v>261</v>
      </c>
      <c r="M127" s="225"/>
      <c r="N127" s="204">
        <v>0</v>
      </c>
      <c r="O127" s="204"/>
      <c r="P127" s="204"/>
      <c r="Q127" s="204"/>
      <c r="R127" s="204">
        <v>0</v>
      </c>
      <c r="S127" s="204"/>
      <c r="T127" s="204"/>
      <c r="U127" s="204"/>
      <c r="V127" s="227"/>
      <c r="W127" s="228"/>
      <c r="X127" s="228"/>
      <c r="Y127" s="228"/>
      <c r="Z127" s="228"/>
      <c r="AA127" s="228"/>
      <c r="AB127" s="228"/>
      <c r="AC127" s="228"/>
      <c r="AD127" s="229"/>
    </row>
    <row r="128" spans="2:30">
      <c r="B128" s="223"/>
      <c r="C128" s="223"/>
      <c r="D128" s="223"/>
      <c r="E128" s="224"/>
      <c r="F128" s="224"/>
      <c r="G128" s="224"/>
      <c r="H128" s="224"/>
      <c r="I128" s="224"/>
      <c r="J128" s="224"/>
      <c r="K128" s="224"/>
      <c r="L128" s="225"/>
      <c r="M128" s="225"/>
      <c r="N128" s="204"/>
      <c r="O128" s="204"/>
      <c r="P128" s="204"/>
      <c r="Q128" s="204"/>
      <c r="R128" s="204"/>
      <c r="S128" s="204"/>
      <c r="T128" s="204"/>
      <c r="U128" s="204"/>
      <c r="V128" s="230"/>
      <c r="W128" s="231"/>
      <c r="X128" s="231"/>
      <c r="Y128" s="231"/>
      <c r="Z128" s="231"/>
      <c r="AA128" s="231"/>
      <c r="AB128" s="231"/>
      <c r="AC128" s="231"/>
      <c r="AD128" s="232"/>
    </row>
    <row r="129" spans="2:30">
      <c r="B129" s="223" t="s">
        <v>505</v>
      </c>
      <c r="C129" s="223"/>
      <c r="D129" s="223"/>
      <c r="E129" s="224" t="s">
        <v>504</v>
      </c>
      <c r="F129" s="224"/>
      <c r="G129" s="224"/>
      <c r="H129" s="224"/>
      <c r="I129" s="224"/>
      <c r="J129" s="224"/>
      <c r="K129" s="224"/>
      <c r="L129" s="225" t="s">
        <v>261</v>
      </c>
      <c r="M129" s="225"/>
      <c r="N129" s="204">
        <v>0</v>
      </c>
      <c r="O129" s="204"/>
      <c r="P129" s="204"/>
      <c r="Q129" s="204"/>
      <c r="R129" s="204">
        <v>0</v>
      </c>
      <c r="S129" s="204"/>
      <c r="T129" s="204"/>
      <c r="U129" s="204"/>
      <c r="V129" s="227"/>
      <c r="W129" s="228"/>
      <c r="X129" s="228"/>
      <c r="Y129" s="228"/>
      <c r="Z129" s="228"/>
      <c r="AA129" s="228"/>
      <c r="AB129" s="228"/>
      <c r="AC129" s="228"/>
      <c r="AD129" s="229"/>
    </row>
    <row r="130" spans="2:30">
      <c r="B130" s="223"/>
      <c r="C130" s="223"/>
      <c r="D130" s="223"/>
      <c r="E130" s="224"/>
      <c r="F130" s="224"/>
      <c r="G130" s="224"/>
      <c r="H130" s="224"/>
      <c r="I130" s="224"/>
      <c r="J130" s="224"/>
      <c r="K130" s="224"/>
      <c r="L130" s="225"/>
      <c r="M130" s="225"/>
      <c r="N130" s="204"/>
      <c r="O130" s="204"/>
      <c r="P130" s="204"/>
      <c r="Q130" s="204"/>
      <c r="R130" s="204"/>
      <c r="S130" s="204"/>
      <c r="T130" s="204"/>
      <c r="U130" s="204"/>
      <c r="V130" s="230"/>
      <c r="W130" s="231"/>
      <c r="X130" s="231"/>
      <c r="Y130" s="231"/>
      <c r="Z130" s="231"/>
      <c r="AA130" s="231"/>
      <c r="AB130" s="231"/>
      <c r="AC130" s="231"/>
      <c r="AD130" s="232"/>
    </row>
    <row r="131" spans="2:30" ht="13.05" customHeight="1">
      <c r="B131" s="223" t="s">
        <v>503</v>
      </c>
      <c r="C131" s="223"/>
      <c r="D131" s="223"/>
      <c r="E131" s="224" t="s">
        <v>502</v>
      </c>
      <c r="F131" s="224"/>
      <c r="G131" s="224"/>
      <c r="H131" s="224"/>
      <c r="I131" s="224"/>
      <c r="J131" s="224"/>
      <c r="K131" s="224"/>
      <c r="L131" s="225" t="s">
        <v>261</v>
      </c>
      <c r="M131" s="225"/>
      <c r="N131" s="204">
        <v>0</v>
      </c>
      <c r="O131" s="204"/>
      <c r="P131" s="204"/>
      <c r="Q131" s="204"/>
      <c r="R131" s="204">
        <v>1</v>
      </c>
      <c r="S131" s="204"/>
      <c r="T131" s="204"/>
      <c r="U131" s="204"/>
      <c r="V131" s="227"/>
      <c r="W131" s="228"/>
      <c r="X131" s="228"/>
      <c r="Y131" s="228"/>
      <c r="Z131" s="228"/>
      <c r="AA131" s="228"/>
      <c r="AB131" s="228"/>
      <c r="AC131" s="228"/>
      <c r="AD131" s="229"/>
    </row>
    <row r="132" spans="2:30" ht="13.05" customHeight="1">
      <c r="B132" s="223"/>
      <c r="C132" s="223"/>
      <c r="D132" s="223"/>
      <c r="E132" s="224"/>
      <c r="F132" s="224"/>
      <c r="G132" s="224"/>
      <c r="H132" s="224"/>
      <c r="I132" s="224"/>
      <c r="J132" s="224"/>
      <c r="K132" s="224"/>
      <c r="L132" s="225"/>
      <c r="M132" s="225"/>
      <c r="N132" s="204"/>
      <c r="O132" s="204"/>
      <c r="P132" s="204"/>
      <c r="Q132" s="204"/>
      <c r="R132" s="204"/>
      <c r="S132" s="204"/>
      <c r="T132" s="204"/>
      <c r="U132" s="204"/>
      <c r="V132" s="230"/>
      <c r="W132" s="231"/>
      <c r="X132" s="231"/>
      <c r="Y132" s="231"/>
      <c r="Z132" s="231"/>
      <c r="AA132" s="231"/>
      <c r="AB132" s="231"/>
      <c r="AC132" s="231"/>
      <c r="AD132" s="232"/>
    </row>
    <row r="133" spans="2:30">
      <c r="B133" s="223" t="s">
        <v>501</v>
      </c>
      <c r="C133" s="223"/>
      <c r="D133" s="223"/>
      <c r="E133" s="224" t="s">
        <v>500</v>
      </c>
      <c r="F133" s="224"/>
      <c r="G133" s="224"/>
      <c r="H133" s="224"/>
      <c r="I133" s="224"/>
      <c r="J133" s="224"/>
      <c r="K133" s="224"/>
      <c r="L133" s="225" t="s">
        <v>261</v>
      </c>
      <c r="M133" s="225"/>
      <c r="N133" s="204">
        <v>0</v>
      </c>
      <c r="O133" s="204"/>
      <c r="P133" s="204"/>
      <c r="Q133" s="204"/>
      <c r="R133" s="204">
        <v>0</v>
      </c>
      <c r="S133" s="204"/>
      <c r="T133" s="204"/>
      <c r="U133" s="204"/>
      <c r="V133" s="227"/>
      <c r="W133" s="228"/>
      <c r="X133" s="228"/>
      <c r="Y133" s="228"/>
      <c r="Z133" s="228"/>
      <c r="AA133" s="228"/>
      <c r="AB133" s="228"/>
      <c r="AC133" s="228"/>
      <c r="AD133" s="229"/>
    </row>
    <row r="134" spans="2:30">
      <c r="B134" s="223"/>
      <c r="C134" s="223"/>
      <c r="D134" s="223"/>
      <c r="E134" s="224"/>
      <c r="F134" s="224"/>
      <c r="G134" s="224"/>
      <c r="H134" s="224"/>
      <c r="I134" s="224"/>
      <c r="J134" s="224"/>
      <c r="K134" s="224"/>
      <c r="L134" s="225"/>
      <c r="M134" s="225"/>
      <c r="N134" s="204"/>
      <c r="O134" s="204"/>
      <c r="P134" s="204"/>
      <c r="Q134" s="204"/>
      <c r="R134" s="204"/>
      <c r="S134" s="204"/>
      <c r="T134" s="204"/>
      <c r="U134" s="204"/>
      <c r="V134" s="230"/>
      <c r="W134" s="231"/>
      <c r="X134" s="231"/>
      <c r="Y134" s="231"/>
      <c r="Z134" s="231"/>
      <c r="AA134" s="231"/>
      <c r="AB134" s="231"/>
      <c r="AC134" s="231"/>
      <c r="AD134" s="232"/>
    </row>
    <row r="135" spans="2:30">
      <c r="B135" s="223" t="s">
        <v>607</v>
      </c>
      <c r="C135" s="223"/>
      <c r="D135" s="223"/>
      <c r="E135" s="224" t="s">
        <v>608</v>
      </c>
      <c r="F135" s="224"/>
      <c r="G135" s="224"/>
      <c r="H135" s="224"/>
      <c r="I135" s="224"/>
      <c r="J135" s="224"/>
      <c r="K135" s="224"/>
      <c r="L135" s="225" t="s">
        <v>261</v>
      </c>
      <c r="M135" s="225"/>
      <c r="N135" s="204">
        <v>0</v>
      </c>
      <c r="O135" s="204"/>
      <c r="P135" s="204"/>
      <c r="Q135" s="204"/>
      <c r="R135" s="204">
        <v>0</v>
      </c>
      <c r="S135" s="204"/>
      <c r="T135" s="204"/>
      <c r="U135" s="204"/>
      <c r="V135" s="227"/>
      <c r="W135" s="228"/>
      <c r="X135" s="228"/>
      <c r="Y135" s="228"/>
      <c r="Z135" s="228"/>
      <c r="AA135" s="228"/>
      <c r="AB135" s="228"/>
      <c r="AC135" s="228"/>
      <c r="AD135" s="229"/>
    </row>
    <row r="136" spans="2:30">
      <c r="B136" s="223"/>
      <c r="C136" s="223"/>
      <c r="D136" s="223"/>
      <c r="E136" s="224"/>
      <c r="F136" s="224"/>
      <c r="G136" s="224"/>
      <c r="H136" s="224"/>
      <c r="I136" s="224"/>
      <c r="J136" s="224"/>
      <c r="K136" s="224"/>
      <c r="L136" s="225"/>
      <c r="M136" s="225"/>
      <c r="N136" s="204"/>
      <c r="O136" s="204"/>
      <c r="P136" s="204"/>
      <c r="Q136" s="204"/>
      <c r="R136" s="204"/>
      <c r="S136" s="204"/>
      <c r="T136" s="204"/>
      <c r="U136" s="204"/>
      <c r="V136" s="230"/>
      <c r="W136" s="231"/>
      <c r="X136" s="231"/>
      <c r="Y136" s="231"/>
      <c r="Z136" s="231"/>
      <c r="AA136" s="231"/>
      <c r="AB136" s="231"/>
      <c r="AC136" s="231"/>
      <c r="AD136" s="232"/>
    </row>
    <row r="137" spans="2:30">
      <c r="B137" s="307" t="s">
        <v>736</v>
      </c>
      <c r="C137" s="307"/>
      <c r="D137" s="307"/>
      <c r="E137" s="224" t="s">
        <v>609</v>
      </c>
      <c r="F137" s="224"/>
      <c r="G137" s="224"/>
      <c r="H137" s="224"/>
      <c r="I137" s="224"/>
      <c r="J137" s="224"/>
      <c r="K137" s="224"/>
      <c r="L137" s="225" t="s">
        <v>373</v>
      </c>
      <c r="M137" s="225"/>
      <c r="N137" s="204">
        <v>0</v>
      </c>
      <c r="O137" s="204"/>
      <c r="P137" s="204"/>
      <c r="Q137" s="204"/>
      <c r="R137" s="204">
        <v>0</v>
      </c>
      <c r="S137" s="204"/>
      <c r="T137" s="204"/>
      <c r="U137" s="204"/>
      <c r="V137" s="227"/>
      <c r="W137" s="228"/>
      <c r="X137" s="228"/>
      <c r="Y137" s="228"/>
      <c r="Z137" s="228"/>
      <c r="AA137" s="228"/>
      <c r="AB137" s="228"/>
      <c r="AC137" s="228"/>
      <c r="AD137" s="229"/>
    </row>
    <row r="138" spans="2:30">
      <c r="B138" s="307"/>
      <c r="C138" s="307"/>
      <c r="D138" s="307"/>
      <c r="E138" s="224"/>
      <c r="F138" s="224"/>
      <c r="G138" s="224"/>
      <c r="H138" s="224"/>
      <c r="I138" s="224"/>
      <c r="J138" s="224"/>
      <c r="K138" s="224"/>
      <c r="L138" s="225"/>
      <c r="M138" s="225"/>
      <c r="N138" s="204"/>
      <c r="O138" s="204"/>
      <c r="P138" s="204"/>
      <c r="Q138" s="204"/>
      <c r="R138" s="204"/>
      <c r="S138" s="204"/>
      <c r="T138" s="204"/>
      <c r="U138" s="204"/>
      <c r="V138" s="230"/>
      <c r="W138" s="231"/>
      <c r="X138" s="231"/>
      <c r="Y138" s="231"/>
      <c r="Z138" s="231"/>
      <c r="AA138" s="231"/>
      <c r="AB138" s="231"/>
      <c r="AC138" s="231"/>
      <c r="AD138" s="232"/>
    </row>
    <row r="139" spans="2:30">
      <c r="B139" s="223" t="s">
        <v>610</v>
      </c>
      <c r="C139" s="223"/>
      <c r="D139" s="223"/>
      <c r="E139" s="224" t="s">
        <v>611</v>
      </c>
      <c r="F139" s="224"/>
      <c r="G139" s="224"/>
      <c r="H139" s="224"/>
      <c r="I139" s="224"/>
      <c r="J139" s="224"/>
      <c r="K139" s="224"/>
      <c r="L139" s="225" t="s">
        <v>612</v>
      </c>
      <c r="M139" s="225"/>
      <c r="N139" s="204">
        <v>0</v>
      </c>
      <c r="O139" s="204"/>
      <c r="P139" s="204"/>
      <c r="Q139" s="204"/>
      <c r="R139" s="204">
        <v>0</v>
      </c>
      <c r="S139" s="204"/>
      <c r="T139" s="204"/>
      <c r="U139" s="204"/>
      <c r="V139" s="227"/>
      <c r="W139" s="228"/>
      <c r="X139" s="228"/>
      <c r="Y139" s="228"/>
      <c r="Z139" s="228"/>
      <c r="AA139" s="228"/>
      <c r="AB139" s="228"/>
      <c r="AC139" s="228"/>
      <c r="AD139" s="229"/>
    </row>
    <row r="140" spans="2:30">
      <c r="B140" s="223"/>
      <c r="C140" s="223"/>
      <c r="D140" s="223"/>
      <c r="E140" s="224"/>
      <c r="F140" s="224"/>
      <c r="G140" s="224"/>
      <c r="H140" s="224"/>
      <c r="I140" s="224"/>
      <c r="J140" s="224"/>
      <c r="K140" s="224"/>
      <c r="L140" s="225"/>
      <c r="M140" s="225"/>
      <c r="N140" s="204"/>
      <c r="O140" s="204"/>
      <c r="P140" s="204"/>
      <c r="Q140" s="204"/>
      <c r="R140" s="204"/>
      <c r="S140" s="204"/>
      <c r="T140" s="204"/>
      <c r="U140" s="204"/>
      <c r="V140" s="230"/>
      <c r="W140" s="231"/>
      <c r="X140" s="231"/>
      <c r="Y140" s="231"/>
      <c r="Z140" s="231"/>
      <c r="AA140" s="231"/>
      <c r="AB140" s="231"/>
      <c r="AC140" s="231"/>
      <c r="AD140" s="232"/>
    </row>
    <row r="141" spans="2:30">
      <c r="B141" s="221"/>
      <c r="C141" s="221"/>
      <c r="D141" s="221"/>
      <c r="E141" s="222"/>
      <c r="F141" s="222"/>
      <c r="G141" s="222"/>
      <c r="H141" s="222"/>
      <c r="I141" s="222"/>
      <c r="J141" s="222"/>
      <c r="K141" s="222"/>
      <c r="L141" s="184"/>
      <c r="M141" s="184"/>
      <c r="N141" s="204"/>
      <c r="O141" s="204"/>
      <c r="P141" s="204"/>
      <c r="Q141" s="204"/>
      <c r="R141" s="204"/>
      <c r="S141" s="204"/>
      <c r="T141" s="204"/>
      <c r="U141" s="204"/>
      <c r="V141" s="308"/>
      <c r="W141" s="309"/>
      <c r="X141" s="309"/>
      <c r="Y141" s="309"/>
      <c r="Z141" s="309"/>
      <c r="AA141" s="309"/>
      <c r="AB141" s="309"/>
      <c r="AC141" s="309"/>
      <c r="AD141" s="310"/>
    </row>
    <row r="142" spans="2:30">
      <c r="B142" s="221"/>
      <c r="C142" s="221"/>
      <c r="D142" s="221"/>
      <c r="E142" s="222"/>
      <c r="F142" s="222"/>
      <c r="G142" s="222"/>
      <c r="H142" s="222"/>
      <c r="I142" s="222"/>
      <c r="J142" s="222"/>
      <c r="K142" s="222"/>
      <c r="L142" s="184"/>
      <c r="M142" s="184"/>
      <c r="N142" s="204"/>
      <c r="O142" s="204"/>
      <c r="P142" s="204"/>
      <c r="Q142" s="204"/>
      <c r="R142" s="204"/>
      <c r="S142" s="204"/>
      <c r="T142" s="204"/>
      <c r="U142" s="204"/>
      <c r="V142" s="311"/>
      <c r="W142" s="312"/>
      <c r="X142" s="312"/>
      <c r="Y142" s="312"/>
      <c r="Z142" s="312"/>
      <c r="AA142" s="312"/>
      <c r="AB142" s="312"/>
      <c r="AC142" s="312"/>
      <c r="AD142" s="313"/>
    </row>
    <row r="143" spans="2:30">
      <c r="C143" s="22" t="str">
        <f>C71</f>
        <v>(様式-販売-１)Rev.2025.05.20</v>
      </c>
      <c r="Y143" s="285" t="s">
        <v>418</v>
      </c>
      <c r="Z143" s="285"/>
      <c r="AA143" s="285"/>
      <c r="AB143" s="285"/>
      <c r="AC143" s="285"/>
      <c r="AD143" s="285"/>
    </row>
    <row r="144" spans="2:30">
      <c r="B144" s="22" t="s">
        <v>417</v>
      </c>
      <c r="Y144" s="286"/>
      <c r="Z144" s="286"/>
      <c r="AA144" s="286"/>
      <c r="AB144" s="286"/>
      <c r="AC144" s="286"/>
      <c r="AD144" s="286"/>
    </row>
    <row r="146" spans="2:30" ht="21.6" customHeight="1" thickBot="1">
      <c r="C146" s="287" t="str">
        <f>$C$2</f>
        <v/>
      </c>
      <c r="D146" s="287"/>
      <c r="E146" s="287"/>
      <c r="F146" s="314" t="s">
        <v>499</v>
      </c>
      <c r="G146" s="314"/>
      <c r="H146" s="314"/>
      <c r="I146" s="314"/>
      <c r="J146" s="314"/>
      <c r="K146" s="314"/>
      <c r="L146" s="314"/>
      <c r="M146" s="314"/>
      <c r="N146" s="314"/>
      <c r="O146" s="314"/>
      <c r="P146" s="314"/>
      <c r="Q146" s="314"/>
      <c r="R146" s="314"/>
      <c r="S146" s="314"/>
      <c r="T146" s="314"/>
      <c r="U146" s="314"/>
      <c r="V146" s="314"/>
      <c r="W146" s="314"/>
      <c r="X146" s="314"/>
      <c r="Y146" s="314"/>
      <c r="Z146" s="314"/>
      <c r="AA146" s="40"/>
      <c r="AB146" s="40"/>
    </row>
    <row r="147" spans="2:30" ht="13.8" thickTop="1">
      <c r="AC147" s="181" t="s">
        <v>344</v>
      </c>
      <c r="AD147" s="181"/>
    </row>
    <row r="148" spans="2:30" ht="13.2" customHeight="1">
      <c r="B148" s="288">
        <f>B4</f>
        <v>46133</v>
      </c>
      <c r="C148" s="184"/>
      <c r="D148" s="184"/>
      <c r="E148" s="184"/>
      <c r="F148" s="184"/>
      <c r="G148" s="184"/>
      <c r="H148" s="184"/>
      <c r="I148" s="184"/>
      <c r="J148" s="184"/>
      <c r="K148" s="184"/>
      <c r="L148" s="184"/>
      <c r="M148" s="184"/>
      <c r="N148" s="184"/>
      <c r="O148" s="184"/>
      <c r="P148" s="184"/>
      <c r="R148" s="41"/>
      <c r="S148" s="41"/>
      <c r="T148" s="14"/>
      <c r="U148" s="13"/>
      <c r="V148" s="13"/>
      <c r="W148" s="184" t="s">
        <v>498</v>
      </c>
      <c r="X148" s="184"/>
      <c r="Y148" s="184"/>
      <c r="Z148" s="184"/>
      <c r="AA148" s="184"/>
      <c r="AB148" s="184"/>
      <c r="AC148" s="184"/>
      <c r="AD148" s="184"/>
    </row>
    <row r="149" spans="2:30">
      <c r="B149" s="184"/>
      <c r="C149" s="184"/>
      <c r="D149" s="184"/>
      <c r="E149" s="184"/>
      <c r="F149" s="184"/>
      <c r="G149" s="184"/>
      <c r="H149" s="184"/>
      <c r="I149" s="184"/>
      <c r="J149" s="184"/>
      <c r="K149" s="184"/>
      <c r="L149" s="184"/>
      <c r="M149" s="184"/>
      <c r="N149" s="184"/>
      <c r="O149" s="184"/>
      <c r="P149" s="184"/>
      <c r="R149" s="41"/>
      <c r="S149" s="41"/>
      <c r="T149" s="13"/>
      <c r="U149" s="13"/>
      <c r="V149" s="13"/>
      <c r="W149" s="184"/>
      <c r="X149" s="184"/>
      <c r="Y149" s="184"/>
      <c r="Z149" s="184"/>
      <c r="AA149" s="184"/>
      <c r="AB149" s="184"/>
      <c r="AC149" s="184"/>
      <c r="AD149" s="184"/>
    </row>
    <row r="150" spans="2:30" ht="13.2" customHeight="1">
      <c r="B150" s="195" t="str">
        <f>B6</f>
        <v>首都圏オフィス</v>
      </c>
      <c r="C150" s="196"/>
      <c r="D150" s="196"/>
      <c r="E150" s="196"/>
      <c r="F150" s="196"/>
      <c r="G150" s="196"/>
      <c r="H150" s="197"/>
      <c r="I150" s="219" t="s">
        <v>410</v>
      </c>
      <c r="J150" s="220" t="e" vm="1">
        <v>#VALUE!</v>
      </c>
      <c r="K150" s="220"/>
      <c r="L150" s="220"/>
      <c r="M150" s="219" t="s">
        <v>409</v>
      </c>
      <c r="N150" s="184"/>
      <c r="O150" s="184"/>
      <c r="P150" s="184"/>
      <c r="W150" s="219" t="s">
        <v>410</v>
      </c>
      <c r="X150" s="184"/>
      <c r="Y150" s="184"/>
      <c r="Z150" s="184"/>
      <c r="AA150" s="219" t="s">
        <v>409</v>
      </c>
      <c r="AB150" s="184"/>
      <c r="AC150" s="184"/>
      <c r="AD150" s="184"/>
    </row>
    <row r="151" spans="2:30" ht="13.05" customHeight="1">
      <c r="B151" s="198"/>
      <c r="C151" s="199"/>
      <c r="D151" s="199"/>
      <c r="E151" s="199"/>
      <c r="F151" s="199"/>
      <c r="G151" s="199"/>
      <c r="H151" s="200"/>
      <c r="I151" s="219"/>
      <c r="J151" s="220"/>
      <c r="K151" s="220"/>
      <c r="L151" s="220"/>
      <c r="M151" s="219"/>
      <c r="N151" s="184"/>
      <c r="O151" s="184"/>
      <c r="P151" s="184"/>
      <c r="W151" s="219"/>
      <c r="X151" s="184"/>
      <c r="Y151" s="184"/>
      <c r="Z151" s="184"/>
      <c r="AA151" s="219"/>
      <c r="AB151" s="184"/>
      <c r="AC151" s="184"/>
      <c r="AD151" s="184"/>
    </row>
    <row r="152" spans="2:30" ht="13.05" customHeight="1">
      <c r="B152" s="198"/>
      <c r="C152" s="199"/>
      <c r="D152" s="199"/>
      <c r="E152" s="199"/>
      <c r="F152" s="199"/>
      <c r="G152" s="199"/>
      <c r="H152" s="200"/>
      <c r="I152" s="219"/>
      <c r="J152" s="220"/>
      <c r="K152" s="220"/>
      <c r="L152" s="220"/>
      <c r="M152" s="219"/>
      <c r="N152" s="184"/>
      <c r="O152" s="184"/>
      <c r="P152" s="184"/>
      <c r="W152" s="219"/>
      <c r="X152" s="184"/>
      <c r="Y152" s="184"/>
      <c r="Z152" s="184"/>
      <c r="AA152" s="219"/>
      <c r="AB152" s="184"/>
      <c r="AC152" s="184"/>
      <c r="AD152" s="184"/>
    </row>
    <row r="153" spans="2:30" ht="13.05" customHeight="1">
      <c r="B153" s="201"/>
      <c r="C153" s="202"/>
      <c r="D153" s="202"/>
      <c r="E153" s="202"/>
      <c r="F153" s="202"/>
      <c r="G153" s="202"/>
      <c r="H153" s="203"/>
      <c r="I153" s="219"/>
      <c r="J153" s="220"/>
      <c r="K153" s="220"/>
      <c r="L153" s="220"/>
      <c r="M153" s="219"/>
      <c r="N153" s="184"/>
      <c r="O153" s="184"/>
      <c r="P153" s="184"/>
      <c r="W153" s="219"/>
      <c r="X153" s="184"/>
      <c r="Y153" s="184"/>
      <c r="Z153" s="184"/>
      <c r="AA153" s="219"/>
      <c r="AB153" s="184"/>
      <c r="AC153" s="184"/>
      <c r="AD153" s="184"/>
    </row>
    <row r="154" spans="2:30">
      <c r="S154" s="22" t="s">
        <v>306</v>
      </c>
    </row>
    <row r="155" spans="2:30" ht="13.2" customHeight="1">
      <c r="B155" s="204" t="s">
        <v>298</v>
      </c>
      <c r="C155" s="204"/>
      <c r="D155" s="204"/>
      <c r="E155" s="204"/>
      <c r="F155" s="204"/>
      <c r="G155" s="204"/>
      <c r="H155" s="204"/>
      <c r="I155" s="204"/>
      <c r="J155" s="204"/>
      <c r="K155" s="204"/>
      <c r="L155" s="206" t="s">
        <v>297</v>
      </c>
      <c r="M155" s="206"/>
      <c r="N155" s="208" t="s">
        <v>296</v>
      </c>
      <c r="O155" s="208"/>
      <c r="P155" s="208"/>
      <c r="Q155" s="208"/>
      <c r="R155" s="208"/>
      <c r="S155" s="208"/>
      <c r="T155" s="208"/>
      <c r="U155" s="208"/>
      <c r="V155" s="209" t="s">
        <v>420</v>
      </c>
      <c r="W155" s="210"/>
      <c r="X155" s="210"/>
      <c r="Y155" s="210"/>
      <c r="Z155" s="210"/>
      <c r="AA155" s="210"/>
      <c r="AB155" s="210"/>
      <c r="AC155" s="210"/>
      <c r="AD155" s="211"/>
    </row>
    <row r="156" spans="2:30" ht="13.2" customHeight="1">
      <c r="B156" s="204"/>
      <c r="C156" s="204"/>
      <c r="D156" s="204"/>
      <c r="E156" s="204"/>
      <c r="F156" s="204"/>
      <c r="G156" s="204"/>
      <c r="H156" s="204"/>
      <c r="I156" s="204"/>
      <c r="J156" s="204"/>
      <c r="K156" s="204"/>
      <c r="L156" s="206"/>
      <c r="M156" s="206"/>
      <c r="N156" s="208"/>
      <c r="O156" s="208"/>
      <c r="P156" s="208"/>
      <c r="Q156" s="208"/>
      <c r="R156" s="208"/>
      <c r="S156" s="208"/>
      <c r="T156" s="208"/>
      <c r="U156" s="208"/>
      <c r="V156" s="212"/>
      <c r="W156" s="213"/>
      <c r="X156" s="213"/>
      <c r="Y156" s="213"/>
      <c r="Z156" s="213"/>
      <c r="AA156" s="213"/>
      <c r="AB156" s="213"/>
      <c r="AC156" s="213"/>
      <c r="AD156" s="214"/>
    </row>
    <row r="157" spans="2:30" ht="13.2" customHeight="1">
      <c r="B157" s="204"/>
      <c r="C157" s="204"/>
      <c r="D157" s="204"/>
      <c r="E157" s="204"/>
      <c r="F157" s="204"/>
      <c r="G157" s="204"/>
      <c r="H157" s="204"/>
      <c r="I157" s="204"/>
      <c r="J157" s="204"/>
      <c r="K157" s="204"/>
      <c r="L157" s="206"/>
      <c r="M157" s="206"/>
      <c r="N157" s="208" t="s">
        <v>294</v>
      </c>
      <c r="O157" s="208"/>
      <c r="P157" s="208"/>
      <c r="Q157" s="208"/>
      <c r="R157" s="208" t="s">
        <v>293</v>
      </c>
      <c r="S157" s="208"/>
      <c r="T157" s="208"/>
      <c r="U157" s="208"/>
      <c r="V157" s="212"/>
      <c r="W157" s="213"/>
      <c r="X157" s="213"/>
      <c r="Y157" s="213"/>
      <c r="Z157" s="213"/>
      <c r="AA157" s="213"/>
      <c r="AB157" s="213"/>
      <c r="AC157" s="213"/>
      <c r="AD157" s="214"/>
    </row>
    <row r="158" spans="2:30" ht="13.95" customHeight="1" thickBot="1">
      <c r="B158" s="205"/>
      <c r="C158" s="205"/>
      <c r="D158" s="205"/>
      <c r="E158" s="205"/>
      <c r="F158" s="205"/>
      <c r="G158" s="205"/>
      <c r="H158" s="205"/>
      <c r="I158" s="205"/>
      <c r="J158" s="205"/>
      <c r="K158" s="205"/>
      <c r="L158" s="207"/>
      <c r="M158" s="207"/>
      <c r="N158" s="218"/>
      <c r="O158" s="218"/>
      <c r="P158" s="218"/>
      <c r="Q158" s="218"/>
      <c r="R158" s="218"/>
      <c r="S158" s="218"/>
      <c r="T158" s="218"/>
      <c r="U158" s="218"/>
      <c r="V158" s="215"/>
      <c r="W158" s="216"/>
      <c r="X158" s="216"/>
      <c r="Y158" s="216"/>
      <c r="Z158" s="216"/>
      <c r="AA158" s="216"/>
      <c r="AB158" s="216"/>
      <c r="AC158" s="216"/>
      <c r="AD158" s="217"/>
    </row>
    <row r="159" spans="2:30" ht="13.8" thickTop="1">
      <c r="B159" s="177" t="s">
        <v>497</v>
      </c>
      <c r="C159" s="178"/>
      <c r="D159" s="178"/>
      <c r="E159" s="178"/>
      <c r="F159" s="178"/>
      <c r="G159" s="178"/>
      <c r="H159" s="178"/>
      <c r="I159" s="178"/>
      <c r="J159" s="178"/>
      <c r="K159" s="179"/>
      <c r="L159" s="183"/>
      <c r="M159" s="183"/>
      <c r="N159" s="183"/>
      <c r="O159" s="183"/>
      <c r="P159" s="183"/>
      <c r="Q159" s="183"/>
      <c r="R159" s="183"/>
      <c r="S159" s="183"/>
      <c r="T159" s="183"/>
      <c r="U159" s="183"/>
      <c r="V159" s="187"/>
      <c r="W159" s="188"/>
      <c r="X159" s="188"/>
      <c r="Y159" s="188"/>
      <c r="Z159" s="188"/>
      <c r="AA159" s="188"/>
      <c r="AB159" s="188"/>
      <c r="AC159" s="188"/>
      <c r="AD159" s="189"/>
    </row>
    <row r="160" spans="2:30">
      <c r="B160" s="180"/>
      <c r="C160" s="181"/>
      <c r="D160" s="181"/>
      <c r="E160" s="181"/>
      <c r="F160" s="181"/>
      <c r="G160" s="181"/>
      <c r="H160" s="181"/>
      <c r="I160" s="181"/>
      <c r="J160" s="181"/>
      <c r="K160" s="182"/>
      <c r="L160" s="184"/>
      <c r="M160" s="184"/>
      <c r="N160" s="296"/>
      <c r="O160" s="296"/>
      <c r="P160" s="296"/>
      <c r="Q160" s="296"/>
      <c r="R160" s="296"/>
      <c r="S160" s="296"/>
      <c r="T160" s="296"/>
      <c r="U160" s="296"/>
      <c r="V160" s="190"/>
      <c r="W160" s="191"/>
      <c r="X160" s="191"/>
      <c r="Y160" s="191"/>
      <c r="Z160" s="191"/>
      <c r="AA160" s="191"/>
      <c r="AB160" s="191"/>
      <c r="AC160" s="191"/>
      <c r="AD160" s="192"/>
    </row>
    <row r="161" spans="2:30">
      <c r="B161" s="223"/>
      <c r="C161" s="223"/>
      <c r="D161" s="223"/>
      <c r="E161" s="224"/>
      <c r="F161" s="224"/>
      <c r="G161" s="224"/>
      <c r="H161" s="224"/>
      <c r="I161" s="224"/>
      <c r="J161" s="224"/>
      <c r="K161" s="224"/>
      <c r="L161" s="225"/>
      <c r="M161" s="225"/>
      <c r="N161" s="204"/>
      <c r="O161" s="204"/>
      <c r="P161" s="204"/>
      <c r="Q161" s="204"/>
      <c r="R161" s="204"/>
      <c r="S161" s="204"/>
      <c r="T161" s="204"/>
      <c r="U161" s="204"/>
      <c r="V161" s="245"/>
      <c r="W161" s="246"/>
      <c r="X161" s="246"/>
      <c r="Y161" s="246"/>
      <c r="Z161" s="246"/>
      <c r="AA161" s="246"/>
      <c r="AB161" s="246"/>
      <c r="AC161" s="246"/>
      <c r="AD161" s="247"/>
    </row>
    <row r="162" spans="2:30">
      <c r="B162" s="223"/>
      <c r="C162" s="223"/>
      <c r="D162" s="223"/>
      <c r="E162" s="224"/>
      <c r="F162" s="224"/>
      <c r="G162" s="224"/>
      <c r="H162" s="224"/>
      <c r="I162" s="224"/>
      <c r="J162" s="224"/>
      <c r="K162" s="224"/>
      <c r="L162" s="225"/>
      <c r="M162" s="225"/>
      <c r="N162" s="204"/>
      <c r="O162" s="204"/>
      <c r="P162" s="204"/>
      <c r="Q162" s="204"/>
      <c r="R162" s="204"/>
      <c r="S162" s="204"/>
      <c r="T162" s="204"/>
      <c r="U162" s="204"/>
      <c r="V162" s="248"/>
      <c r="W162" s="249"/>
      <c r="X162" s="249"/>
      <c r="Y162" s="249"/>
      <c r="Z162" s="249"/>
      <c r="AA162" s="249"/>
      <c r="AB162" s="249"/>
      <c r="AC162" s="249"/>
      <c r="AD162" s="250"/>
    </row>
    <row r="163" spans="2:30" ht="13.05" customHeight="1">
      <c r="B163" s="223" t="s">
        <v>496</v>
      </c>
      <c r="C163" s="223"/>
      <c r="D163" s="223"/>
      <c r="E163" s="224" t="s">
        <v>495</v>
      </c>
      <c r="F163" s="224"/>
      <c r="G163" s="224"/>
      <c r="H163" s="224"/>
      <c r="I163" s="224"/>
      <c r="J163" s="224"/>
      <c r="K163" s="224"/>
      <c r="L163" s="225" t="s">
        <v>261</v>
      </c>
      <c r="M163" s="225"/>
      <c r="N163" s="204">
        <v>0</v>
      </c>
      <c r="O163" s="204"/>
      <c r="P163" s="204"/>
      <c r="Q163" s="204"/>
      <c r="R163" s="204">
        <v>0</v>
      </c>
      <c r="S163" s="204"/>
      <c r="T163" s="204"/>
      <c r="U163" s="204"/>
      <c r="V163" s="245"/>
      <c r="W163" s="246"/>
      <c r="X163" s="246"/>
      <c r="Y163" s="246"/>
      <c r="Z163" s="246"/>
      <c r="AA163" s="246"/>
      <c r="AB163" s="246"/>
      <c r="AC163" s="246"/>
      <c r="AD163" s="247"/>
    </row>
    <row r="164" spans="2:30" ht="13.05" customHeight="1">
      <c r="B164" s="223"/>
      <c r="C164" s="223"/>
      <c r="D164" s="223"/>
      <c r="E164" s="224"/>
      <c r="F164" s="224"/>
      <c r="G164" s="224"/>
      <c r="H164" s="224"/>
      <c r="I164" s="224"/>
      <c r="J164" s="224"/>
      <c r="K164" s="224"/>
      <c r="L164" s="225"/>
      <c r="M164" s="225"/>
      <c r="N164" s="204"/>
      <c r="O164" s="204"/>
      <c r="P164" s="204"/>
      <c r="Q164" s="204"/>
      <c r="R164" s="204"/>
      <c r="S164" s="204"/>
      <c r="T164" s="204"/>
      <c r="U164" s="204"/>
      <c r="V164" s="248"/>
      <c r="W164" s="249"/>
      <c r="X164" s="249"/>
      <c r="Y164" s="249"/>
      <c r="Z164" s="249"/>
      <c r="AA164" s="249"/>
      <c r="AB164" s="249"/>
      <c r="AC164" s="249"/>
      <c r="AD164" s="250"/>
    </row>
    <row r="165" spans="2:30">
      <c r="B165" s="223"/>
      <c r="C165" s="223"/>
      <c r="D165" s="223"/>
      <c r="E165" s="224"/>
      <c r="F165" s="224"/>
      <c r="G165" s="224"/>
      <c r="H165" s="224"/>
      <c r="I165" s="224"/>
      <c r="J165" s="224"/>
      <c r="K165" s="224"/>
      <c r="L165" s="225"/>
      <c r="M165" s="225"/>
      <c r="N165" s="204"/>
      <c r="O165" s="204"/>
      <c r="P165" s="204"/>
      <c r="Q165" s="204"/>
      <c r="R165" s="204"/>
      <c r="S165" s="204"/>
      <c r="T165" s="204"/>
      <c r="U165" s="204"/>
      <c r="V165" s="245"/>
      <c r="W165" s="246"/>
      <c r="X165" s="246"/>
      <c r="Y165" s="246"/>
      <c r="Z165" s="246"/>
      <c r="AA165" s="246"/>
      <c r="AB165" s="246"/>
      <c r="AC165" s="246"/>
      <c r="AD165" s="247"/>
    </row>
    <row r="166" spans="2:30">
      <c r="B166" s="223"/>
      <c r="C166" s="223"/>
      <c r="D166" s="223"/>
      <c r="E166" s="224"/>
      <c r="F166" s="224"/>
      <c r="G166" s="224"/>
      <c r="H166" s="224"/>
      <c r="I166" s="224"/>
      <c r="J166" s="224"/>
      <c r="K166" s="224"/>
      <c r="L166" s="225"/>
      <c r="M166" s="225"/>
      <c r="N166" s="204"/>
      <c r="O166" s="204"/>
      <c r="P166" s="204"/>
      <c r="Q166" s="204"/>
      <c r="R166" s="204"/>
      <c r="S166" s="204"/>
      <c r="T166" s="204"/>
      <c r="U166" s="204"/>
      <c r="V166" s="248"/>
      <c r="W166" s="249"/>
      <c r="X166" s="249"/>
      <c r="Y166" s="249"/>
      <c r="Z166" s="249"/>
      <c r="AA166" s="249"/>
      <c r="AB166" s="249"/>
      <c r="AC166" s="249"/>
      <c r="AD166" s="250"/>
    </row>
    <row r="167" spans="2:30">
      <c r="B167" s="223" t="s">
        <v>494</v>
      </c>
      <c r="C167" s="223"/>
      <c r="D167" s="223"/>
      <c r="E167" s="224" t="s">
        <v>493</v>
      </c>
      <c r="F167" s="224"/>
      <c r="G167" s="224"/>
      <c r="H167" s="224"/>
      <c r="I167" s="224"/>
      <c r="J167" s="224"/>
      <c r="K167" s="224"/>
      <c r="L167" s="225" t="s">
        <v>373</v>
      </c>
      <c r="M167" s="225"/>
      <c r="N167" s="204">
        <v>0</v>
      </c>
      <c r="O167" s="204"/>
      <c r="P167" s="204"/>
      <c r="Q167" s="204"/>
      <c r="R167" s="204">
        <v>0</v>
      </c>
      <c r="S167" s="204"/>
      <c r="T167" s="204"/>
      <c r="U167" s="204"/>
      <c r="V167" s="245"/>
      <c r="W167" s="246"/>
      <c r="X167" s="246"/>
      <c r="Y167" s="246"/>
      <c r="Z167" s="246"/>
      <c r="AA167" s="246"/>
      <c r="AB167" s="246"/>
      <c r="AC167" s="246"/>
      <c r="AD167" s="247"/>
    </row>
    <row r="168" spans="2:30">
      <c r="B168" s="223"/>
      <c r="C168" s="223"/>
      <c r="D168" s="223"/>
      <c r="E168" s="224"/>
      <c r="F168" s="224"/>
      <c r="G168" s="224"/>
      <c r="H168" s="224"/>
      <c r="I168" s="224"/>
      <c r="J168" s="224"/>
      <c r="K168" s="224"/>
      <c r="L168" s="225"/>
      <c r="M168" s="225"/>
      <c r="N168" s="204"/>
      <c r="O168" s="204"/>
      <c r="P168" s="204"/>
      <c r="Q168" s="204"/>
      <c r="R168" s="204"/>
      <c r="S168" s="204"/>
      <c r="T168" s="204"/>
      <c r="U168" s="204"/>
      <c r="V168" s="248"/>
      <c r="W168" s="249"/>
      <c r="X168" s="249"/>
      <c r="Y168" s="249"/>
      <c r="Z168" s="249"/>
      <c r="AA168" s="249"/>
      <c r="AB168" s="249"/>
      <c r="AC168" s="249"/>
      <c r="AD168" s="250"/>
    </row>
    <row r="169" spans="2:30" ht="13.05" customHeight="1">
      <c r="B169" s="223" t="s">
        <v>492</v>
      </c>
      <c r="C169" s="223"/>
      <c r="D169" s="223"/>
      <c r="E169" s="224" t="s">
        <v>491</v>
      </c>
      <c r="F169" s="224"/>
      <c r="G169" s="224"/>
      <c r="H169" s="224"/>
      <c r="I169" s="224"/>
      <c r="J169" s="224"/>
      <c r="K169" s="224"/>
      <c r="L169" s="225" t="s">
        <v>373</v>
      </c>
      <c r="M169" s="225"/>
      <c r="N169" s="204">
        <v>0</v>
      </c>
      <c r="O169" s="204"/>
      <c r="P169" s="204"/>
      <c r="Q169" s="204"/>
      <c r="R169" s="204">
        <v>0</v>
      </c>
      <c r="S169" s="204"/>
      <c r="T169" s="204"/>
      <c r="U169" s="204"/>
      <c r="V169" s="245"/>
      <c r="W169" s="246"/>
      <c r="X169" s="246"/>
      <c r="Y169" s="246"/>
      <c r="Z169" s="246"/>
      <c r="AA169" s="246"/>
      <c r="AB169" s="246"/>
      <c r="AC169" s="246"/>
      <c r="AD169" s="247"/>
    </row>
    <row r="170" spans="2:30" ht="13.05" customHeight="1">
      <c r="B170" s="223"/>
      <c r="C170" s="223"/>
      <c r="D170" s="223"/>
      <c r="E170" s="224"/>
      <c r="F170" s="224"/>
      <c r="G170" s="224"/>
      <c r="H170" s="224"/>
      <c r="I170" s="224"/>
      <c r="J170" s="224"/>
      <c r="K170" s="224"/>
      <c r="L170" s="225"/>
      <c r="M170" s="225"/>
      <c r="N170" s="204"/>
      <c r="O170" s="204"/>
      <c r="P170" s="204"/>
      <c r="Q170" s="204"/>
      <c r="R170" s="204"/>
      <c r="S170" s="204"/>
      <c r="T170" s="204"/>
      <c r="U170" s="204"/>
      <c r="V170" s="248"/>
      <c r="W170" s="249"/>
      <c r="X170" s="249"/>
      <c r="Y170" s="249"/>
      <c r="Z170" s="249"/>
      <c r="AA170" s="249"/>
      <c r="AB170" s="249"/>
      <c r="AC170" s="249"/>
      <c r="AD170" s="250"/>
    </row>
    <row r="171" spans="2:30">
      <c r="B171" s="223" t="s">
        <v>490</v>
      </c>
      <c r="C171" s="223"/>
      <c r="D171" s="223"/>
      <c r="E171" s="224" t="s">
        <v>489</v>
      </c>
      <c r="F171" s="224"/>
      <c r="G171" s="224"/>
      <c r="H171" s="224"/>
      <c r="I171" s="224"/>
      <c r="J171" s="224"/>
      <c r="K171" s="224"/>
      <c r="L171" s="225" t="s">
        <v>373</v>
      </c>
      <c r="M171" s="225"/>
      <c r="N171" s="204">
        <v>0</v>
      </c>
      <c r="O171" s="204"/>
      <c r="P171" s="204"/>
      <c r="Q171" s="204"/>
      <c r="R171" s="204">
        <v>0</v>
      </c>
      <c r="S171" s="204"/>
      <c r="T171" s="204"/>
      <c r="U171" s="204"/>
      <c r="V171" s="245"/>
      <c r="W171" s="246"/>
      <c r="X171" s="246"/>
      <c r="Y171" s="246"/>
      <c r="Z171" s="246"/>
      <c r="AA171" s="246"/>
      <c r="AB171" s="246"/>
      <c r="AC171" s="246"/>
      <c r="AD171" s="247"/>
    </row>
    <row r="172" spans="2:30">
      <c r="B172" s="223"/>
      <c r="C172" s="223"/>
      <c r="D172" s="223"/>
      <c r="E172" s="224"/>
      <c r="F172" s="224"/>
      <c r="G172" s="224"/>
      <c r="H172" s="224"/>
      <c r="I172" s="224"/>
      <c r="J172" s="224"/>
      <c r="K172" s="224"/>
      <c r="L172" s="225"/>
      <c r="M172" s="225"/>
      <c r="N172" s="204"/>
      <c r="O172" s="204"/>
      <c r="P172" s="204"/>
      <c r="Q172" s="204"/>
      <c r="R172" s="204"/>
      <c r="S172" s="204"/>
      <c r="T172" s="204"/>
      <c r="U172" s="204"/>
      <c r="V172" s="248"/>
      <c r="W172" s="249"/>
      <c r="X172" s="249"/>
      <c r="Y172" s="249"/>
      <c r="Z172" s="249"/>
      <c r="AA172" s="249"/>
      <c r="AB172" s="249"/>
      <c r="AC172" s="249"/>
      <c r="AD172" s="250"/>
    </row>
    <row r="173" spans="2:30">
      <c r="B173" s="223" t="s">
        <v>488</v>
      </c>
      <c r="C173" s="223"/>
      <c r="D173" s="223"/>
      <c r="E173" s="224" t="s">
        <v>487</v>
      </c>
      <c r="F173" s="224"/>
      <c r="G173" s="224"/>
      <c r="H173" s="224"/>
      <c r="I173" s="224"/>
      <c r="J173" s="224"/>
      <c r="K173" s="224"/>
      <c r="L173" s="225" t="s">
        <v>373</v>
      </c>
      <c r="M173" s="225"/>
      <c r="N173" s="204">
        <v>0</v>
      </c>
      <c r="O173" s="204"/>
      <c r="P173" s="204"/>
      <c r="Q173" s="204"/>
      <c r="R173" s="204">
        <v>0</v>
      </c>
      <c r="S173" s="204"/>
      <c r="T173" s="204"/>
      <c r="U173" s="204"/>
      <c r="V173" s="245"/>
      <c r="W173" s="246"/>
      <c r="X173" s="246"/>
      <c r="Y173" s="246"/>
      <c r="Z173" s="246"/>
      <c r="AA173" s="246"/>
      <c r="AB173" s="246"/>
      <c r="AC173" s="246"/>
      <c r="AD173" s="247"/>
    </row>
    <row r="174" spans="2:30">
      <c r="B174" s="223"/>
      <c r="C174" s="223"/>
      <c r="D174" s="223"/>
      <c r="E174" s="224"/>
      <c r="F174" s="224"/>
      <c r="G174" s="224"/>
      <c r="H174" s="224"/>
      <c r="I174" s="224"/>
      <c r="J174" s="224"/>
      <c r="K174" s="224"/>
      <c r="L174" s="225"/>
      <c r="M174" s="225"/>
      <c r="N174" s="204"/>
      <c r="O174" s="204"/>
      <c r="P174" s="204"/>
      <c r="Q174" s="204"/>
      <c r="R174" s="204"/>
      <c r="S174" s="204"/>
      <c r="T174" s="204"/>
      <c r="U174" s="204"/>
      <c r="V174" s="248"/>
      <c r="W174" s="249"/>
      <c r="X174" s="249"/>
      <c r="Y174" s="249"/>
      <c r="Z174" s="249"/>
      <c r="AA174" s="249"/>
      <c r="AB174" s="249"/>
      <c r="AC174" s="249"/>
      <c r="AD174" s="250"/>
    </row>
    <row r="175" spans="2:30">
      <c r="B175" s="223" t="s">
        <v>613</v>
      </c>
      <c r="C175" s="223"/>
      <c r="D175" s="223"/>
      <c r="E175" s="224" t="s">
        <v>486</v>
      </c>
      <c r="F175" s="224"/>
      <c r="G175" s="224"/>
      <c r="H175" s="224"/>
      <c r="I175" s="224"/>
      <c r="J175" s="224"/>
      <c r="K175" s="224"/>
      <c r="L175" s="225" t="s">
        <v>373</v>
      </c>
      <c r="M175" s="225"/>
      <c r="N175" s="204">
        <v>0</v>
      </c>
      <c r="O175" s="204"/>
      <c r="P175" s="204"/>
      <c r="Q175" s="204"/>
      <c r="R175" s="204">
        <v>0</v>
      </c>
      <c r="S175" s="204"/>
      <c r="T175" s="204"/>
      <c r="U175" s="204"/>
      <c r="V175" s="245"/>
      <c r="W175" s="246"/>
      <c r="X175" s="246"/>
      <c r="Y175" s="246"/>
      <c r="Z175" s="246"/>
      <c r="AA175" s="246"/>
      <c r="AB175" s="246"/>
      <c r="AC175" s="246"/>
      <c r="AD175" s="247"/>
    </row>
    <row r="176" spans="2:30">
      <c r="B176" s="223"/>
      <c r="C176" s="223"/>
      <c r="D176" s="223"/>
      <c r="E176" s="224"/>
      <c r="F176" s="224"/>
      <c r="G176" s="224"/>
      <c r="H176" s="224"/>
      <c r="I176" s="224"/>
      <c r="J176" s="224"/>
      <c r="K176" s="224"/>
      <c r="L176" s="225"/>
      <c r="M176" s="225"/>
      <c r="N176" s="204"/>
      <c r="O176" s="204"/>
      <c r="P176" s="204"/>
      <c r="Q176" s="204"/>
      <c r="R176" s="204"/>
      <c r="S176" s="204"/>
      <c r="T176" s="204"/>
      <c r="U176" s="204"/>
      <c r="V176" s="248"/>
      <c r="W176" s="249"/>
      <c r="X176" s="249"/>
      <c r="Y176" s="249"/>
      <c r="Z176" s="249"/>
      <c r="AA176" s="249"/>
      <c r="AB176" s="249"/>
      <c r="AC176" s="249"/>
      <c r="AD176" s="250"/>
    </row>
    <row r="177" spans="2:30">
      <c r="B177" s="223"/>
      <c r="C177" s="223"/>
      <c r="D177" s="223"/>
      <c r="E177" s="224"/>
      <c r="F177" s="224"/>
      <c r="G177" s="224"/>
      <c r="H177" s="224"/>
      <c r="I177" s="224"/>
      <c r="J177" s="224"/>
      <c r="K177" s="224"/>
      <c r="L177" s="225"/>
      <c r="M177" s="225"/>
      <c r="N177" s="204"/>
      <c r="O177" s="204"/>
      <c r="P177" s="204"/>
      <c r="Q177" s="204"/>
      <c r="R177" s="204"/>
      <c r="S177" s="204"/>
      <c r="T177" s="204"/>
      <c r="U177" s="204"/>
      <c r="V177" s="245"/>
      <c r="W177" s="246"/>
      <c r="X177" s="246"/>
      <c r="Y177" s="246"/>
      <c r="Z177" s="246"/>
      <c r="AA177" s="246"/>
      <c r="AB177" s="246"/>
      <c r="AC177" s="246"/>
      <c r="AD177" s="247"/>
    </row>
    <row r="178" spans="2:30">
      <c r="B178" s="223"/>
      <c r="C178" s="223"/>
      <c r="D178" s="223"/>
      <c r="E178" s="224"/>
      <c r="F178" s="224"/>
      <c r="G178" s="224"/>
      <c r="H178" s="224"/>
      <c r="I178" s="224"/>
      <c r="J178" s="224"/>
      <c r="K178" s="224"/>
      <c r="L178" s="225"/>
      <c r="M178" s="225"/>
      <c r="N178" s="204"/>
      <c r="O178" s="204"/>
      <c r="P178" s="204"/>
      <c r="Q178" s="204"/>
      <c r="R178" s="204"/>
      <c r="S178" s="204"/>
      <c r="T178" s="204"/>
      <c r="U178" s="204"/>
      <c r="V178" s="248"/>
      <c r="W178" s="249"/>
      <c r="X178" s="249"/>
      <c r="Y178" s="249"/>
      <c r="Z178" s="249"/>
      <c r="AA178" s="249"/>
      <c r="AB178" s="249"/>
      <c r="AC178" s="249"/>
      <c r="AD178" s="250"/>
    </row>
    <row r="179" spans="2:30">
      <c r="B179" s="223" t="s">
        <v>614</v>
      </c>
      <c r="C179" s="223"/>
      <c r="D179" s="223"/>
      <c r="E179" s="224" t="s">
        <v>615</v>
      </c>
      <c r="F179" s="224"/>
      <c r="G179" s="224"/>
      <c r="H179" s="224"/>
      <c r="I179" s="224"/>
      <c r="J179" s="224"/>
      <c r="K179" s="224"/>
      <c r="L179" s="225" t="s">
        <v>373</v>
      </c>
      <c r="M179" s="225"/>
      <c r="N179" s="204"/>
      <c r="O179" s="204"/>
      <c r="P179" s="204"/>
      <c r="Q179" s="204"/>
      <c r="R179" s="204"/>
      <c r="S179" s="204"/>
      <c r="T179" s="204"/>
      <c r="U179" s="204"/>
      <c r="V179" s="245"/>
      <c r="W179" s="246"/>
      <c r="X179" s="246"/>
      <c r="Y179" s="246"/>
      <c r="Z179" s="246"/>
      <c r="AA179" s="246"/>
      <c r="AB179" s="246"/>
      <c r="AC179" s="246"/>
      <c r="AD179" s="247"/>
    </row>
    <row r="180" spans="2:30">
      <c r="B180" s="223"/>
      <c r="C180" s="223"/>
      <c r="D180" s="223"/>
      <c r="E180" s="224"/>
      <c r="F180" s="224"/>
      <c r="G180" s="224"/>
      <c r="H180" s="224"/>
      <c r="I180" s="224"/>
      <c r="J180" s="224"/>
      <c r="K180" s="224"/>
      <c r="L180" s="225"/>
      <c r="M180" s="225"/>
      <c r="N180" s="204"/>
      <c r="O180" s="204"/>
      <c r="P180" s="204"/>
      <c r="Q180" s="204"/>
      <c r="R180" s="204"/>
      <c r="S180" s="204"/>
      <c r="T180" s="204"/>
      <c r="U180" s="204"/>
      <c r="V180" s="315"/>
      <c r="W180" s="316"/>
      <c r="X180" s="316"/>
      <c r="Y180" s="316"/>
      <c r="Z180" s="316"/>
      <c r="AA180" s="316"/>
      <c r="AB180" s="316"/>
      <c r="AC180" s="316"/>
      <c r="AD180" s="317"/>
    </row>
    <row r="181" spans="2:30" ht="13.05" customHeight="1">
      <c r="B181" s="223" t="s">
        <v>616</v>
      </c>
      <c r="C181" s="223"/>
      <c r="D181" s="223"/>
      <c r="E181" s="224" t="s">
        <v>615</v>
      </c>
      <c r="F181" s="224"/>
      <c r="G181" s="224"/>
      <c r="H181" s="224"/>
      <c r="I181" s="224"/>
      <c r="J181" s="224"/>
      <c r="K181" s="224"/>
      <c r="L181" s="225"/>
      <c r="M181" s="225"/>
      <c r="N181" s="204"/>
      <c r="O181" s="204"/>
      <c r="P181" s="204"/>
      <c r="Q181" s="204"/>
      <c r="R181" s="204"/>
      <c r="S181" s="204"/>
      <c r="T181" s="204"/>
      <c r="U181" s="204"/>
      <c r="V181" s="245"/>
      <c r="W181" s="246"/>
      <c r="X181" s="246"/>
      <c r="Y181" s="246"/>
      <c r="Z181" s="246"/>
      <c r="AA181" s="246"/>
      <c r="AB181" s="246"/>
      <c r="AC181" s="246"/>
      <c r="AD181" s="247"/>
    </row>
    <row r="182" spans="2:30" ht="13.05" customHeight="1">
      <c r="B182" s="223"/>
      <c r="C182" s="223"/>
      <c r="D182" s="223"/>
      <c r="E182" s="224"/>
      <c r="F182" s="224"/>
      <c r="G182" s="224"/>
      <c r="H182" s="224"/>
      <c r="I182" s="224"/>
      <c r="J182" s="224"/>
      <c r="K182" s="224"/>
      <c r="L182" s="225"/>
      <c r="M182" s="225"/>
      <c r="N182" s="204"/>
      <c r="O182" s="204"/>
      <c r="P182" s="204"/>
      <c r="Q182" s="204"/>
      <c r="R182" s="204"/>
      <c r="S182" s="204"/>
      <c r="T182" s="204"/>
      <c r="U182" s="204"/>
      <c r="V182" s="315"/>
      <c r="W182" s="316"/>
      <c r="X182" s="316"/>
      <c r="Y182" s="316"/>
      <c r="Z182" s="316"/>
      <c r="AA182" s="316"/>
      <c r="AB182" s="316"/>
      <c r="AC182" s="316"/>
      <c r="AD182" s="317"/>
    </row>
    <row r="183" spans="2:30" ht="13.05" customHeight="1">
      <c r="B183" s="223" t="s">
        <v>485</v>
      </c>
      <c r="C183" s="223"/>
      <c r="D183" s="223"/>
      <c r="E183" s="224" t="s">
        <v>484</v>
      </c>
      <c r="F183" s="224"/>
      <c r="G183" s="224"/>
      <c r="H183" s="224"/>
      <c r="I183" s="224"/>
      <c r="J183" s="224"/>
      <c r="K183" s="224"/>
      <c r="L183" s="225" t="s">
        <v>261</v>
      </c>
      <c r="M183" s="225"/>
      <c r="N183" s="204"/>
      <c r="O183" s="204"/>
      <c r="P183" s="204"/>
      <c r="Q183" s="204"/>
      <c r="R183" s="204"/>
      <c r="S183" s="204"/>
      <c r="T183" s="204"/>
      <c r="U183" s="204"/>
      <c r="V183" s="245"/>
      <c r="W183" s="246"/>
      <c r="X183" s="246"/>
      <c r="Y183" s="246"/>
      <c r="Z183" s="246"/>
      <c r="AA183" s="246"/>
      <c r="AB183" s="246"/>
      <c r="AC183" s="246"/>
      <c r="AD183" s="247"/>
    </row>
    <row r="184" spans="2:30" ht="13.05" customHeight="1">
      <c r="B184" s="223"/>
      <c r="C184" s="223"/>
      <c r="D184" s="223"/>
      <c r="E184" s="224"/>
      <c r="F184" s="224"/>
      <c r="G184" s="224"/>
      <c r="H184" s="224"/>
      <c r="I184" s="224"/>
      <c r="J184" s="224"/>
      <c r="K184" s="224"/>
      <c r="L184" s="225"/>
      <c r="M184" s="225"/>
      <c r="N184" s="204"/>
      <c r="O184" s="204"/>
      <c r="P184" s="204"/>
      <c r="Q184" s="204"/>
      <c r="R184" s="204"/>
      <c r="S184" s="204"/>
      <c r="T184" s="204"/>
      <c r="U184" s="204"/>
      <c r="V184" s="315"/>
      <c r="W184" s="316"/>
      <c r="X184" s="316"/>
      <c r="Y184" s="316"/>
      <c r="Z184" s="316"/>
      <c r="AA184" s="316"/>
      <c r="AB184" s="316"/>
      <c r="AC184" s="316"/>
      <c r="AD184" s="317"/>
    </row>
    <row r="185" spans="2:30" ht="13.05" customHeight="1">
      <c r="B185" s="223"/>
      <c r="C185" s="223"/>
      <c r="D185" s="223"/>
      <c r="E185" s="224"/>
      <c r="F185" s="224"/>
      <c r="G185" s="224"/>
      <c r="H185" s="224"/>
      <c r="I185" s="224"/>
      <c r="J185" s="224"/>
      <c r="K185" s="224"/>
      <c r="L185" s="225"/>
      <c r="M185" s="225"/>
      <c r="N185" s="204"/>
      <c r="O185" s="204"/>
      <c r="P185" s="204"/>
      <c r="Q185" s="204"/>
      <c r="R185" s="204"/>
      <c r="S185" s="204"/>
      <c r="T185" s="204"/>
      <c r="U185" s="204"/>
      <c r="V185" s="245"/>
      <c r="W185" s="246"/>
      <c r="X185" s="246"/>
      <c r="Y185" s="246"/>
      <c r="Z185" s="246"/>
      <c r="AA185" s="246"/>
      <c r="AB185" s="246"/>
      <c r="AC185" s="246"/>
      <c r="AD185" s="247"/>
    </row>
    <row r="186" spans="2:30" ht="13.05" customHeight="1">
      <c r="B186" s="223"/>
      <c r="C186" s="223"/>
      <c r="D186" s="223"/>
      <c r="E186" s="224"/>
      <c r="F186" s="224"/>
      <c r="G186" s="224"/>
      <c r="H186" s="224"/>
      <c r="I186" s="224"/>
      <c r="J186" s="224"/>
      <c r="K186" s="224"/>
      <c r="L186" s="225"/>
      <c r="M186" s="225"/>
      <c r="N186" s="204"/>
      <c r="O186" s="204"/>
      <c r="P186" s="204"/>
      <c r="Q186" s="204"/>
      <c r="R186" s="204"/>
      <c r="S186" s="204"/>
      <c r="T186" s="204"/>
      <c r="U186" s="204"/>
      <c r="V186" s="248"/>
      <c r="W186" s="249"/>
      <c r="X186" s="249"/>
      <c r="Y186" s="249"/>
      <c r="Z186" s="249"/>
      <c r="AA186" s="249"/>
      <c r="AB186" s="249"/>
      <c r="AC186" s="249"/>
      <c r="AD186" s="250"/>
    </row>
    <row r="187" spans="2:30">
      <c r="B187" s="223"/>
      <c r="C187" s="223"/>
      <c r="D187" s="223"/>
      <c r="E187" s="224"/>
      <c r="F187" s="224"/>
      <c r="G187" s="224"/>
      <c r="H187" s="224"/>
      <c r="I187" s="224"/>
      <c r="J187" s="224"/>
      <c r="K187" s="224"/>
      <c r="L187" s="225"/>
      <c r="M187" s="225"/>
      <c r="N187" s="204"/>
      <c r="O187" s="204"/>
      <c r="P187" s="204"/>
      <c r="Q187" s="204"/>
      <c r="R187" s="204"/>
      <c r="S187" s="204"/>
      <c r="T187" s="204"/>
      <c r="U187" s="204"/>
      <c r="V187" s="245"/>
      <c r="W187" s="246"/>
      <c r="X187" s="246"/>
      <c r="Y187" s="246"/>
      <c r="Z187" s="246"/>
      <c r="AA187" s="246"/>
      <c r="AB187" s="246"/>
      <c r="AC187" s="246"/>
      <c r="AD187" s="247"/>
    </row>
    <row r="188" spans="2:30">
      <c r="B188" s="223"/>
      <c r="C188" s="223"/>
      <c r="D188" s="223"/>
      <c r="E188" s="224"/>
      <c r="F188" s="224"/>
      <c r="G188" s="224"/>
      <c r="H188" s="224"/>
      <c r="I188" s="224"/>
      <c r="J188" s="224"/>
      <c r="K188" s="224"/>
      <c r="L188" s="225"/>
      <c r="M188" s="225"/>
      <c r="N188" s="204"/>
      <c r="O188" s="204"/>
      <c r="P188" s="204"/>
      <c r="Q188" s="204"/>
      <c r="R188" s="204"/>
      <c r="S188" s="204"/>
      <c r="T188" s="204"/>
      <c r="U188" s="204"/>
      <c r="V188" s="248"/>
      <c r="W188" s="249"/>
      <c r="X188" s="249"/>
      <c r="Y188" s="249"/>
      <c r="Z188" s="249"/>
      <c r="AA188" s="249"/>
      <c r="AB188" s="249"/>
      <c r="AC188" s="249"/>
      <c r="AD188" s="250"/>
    </row>
    <row r="189" spans="2:30">
      <c r="B189" s="223" t="s">
        <v>483</v>
      </c>
      <c r="C189" s="223"/>
      <c r="D189" s="223"/>
      <c r="E189" s="224" t="s">
        <v>482</v>
      </c>
      <c r="F189" s="224"/>
      <c r="G189" s="224"/>
      <c r="H189" s="224"/>
      <c r="I189" s="224"/>
      <c r="J189" s="224"/>
      <c r="K189" s="224"/>
      <c r="L189" s="225" t="s">
        <v>261</v>
      </c>
      <c r="M189" s="225"/>
      <c r="N189" s="204">
        <v>0</v>
      </c>
      <c r="O189" s="204"/>
      <c r="P189" s="204"/>
      <c r="Q189" s="204"/>
      <c r="R189" s="204">
        <v>0</v>
      </c>
      <c r="S189" s="204"/>
      <c r="T189" s="204"/>
      <c r="U189" s="204"/>
      <c r="V189" s="245"/>
      <c r="W189" s="246"/>
      <c r="X189" s="246"/>
      <c r="Y189" s="246"/>
      <c r="Z189" s="246"/>
      <c r="AA189" s="246"/>
      <c r="AB189" s="246"/>
      <c r="AC189" s="246"/>
      <c r="AD189" s="247"/>
    </row>
    <row r="190" spans="2:30">
      <c r="B190" s="223"/>
      <c r="C190" s="223"/>
      <c r="D190" s="223"/>
      <c r="E190" s="224"/>
      <c r="F190" s="224"/>
      <c r="G190" s="224"/>
      <c r="H190" s="224"/>
      <c r="I190" s="224"/>
      <c r="J190" s="224"/>
      <c r="K190" s="224"/>
      <c r="L190" s="225"/>
      <c r="M190" s="225"/>
      <c r="N190" s="204"/>
      <c r="O190" s="204"/>
      <c r="P190" s="204"/>
      <c r="Q190" s="204"/>
      <c r="R190" s="204"/>
      <c r="S190" s="204"/>
      <c r="T190" s="204"/>
      <c r="U190" s="204"/>
      <c r="V190" s="248"/>
      <c r="W190" s="249"/>
      <c r="X190" s="249"/>
      <c r="Y190" s="249"/>
      <c r="Z190" s="249"/>
      <c r="AA190" s="249"/>
      <c r="AB190" s="249"/>
      <c r="AC190" s="249"/>
      <c r="AD190" s="250"/>
    </row>
    <row r="191" spans="2:30" ht="13.05" customHeight="1">
      <c r="B191" s="223" t="s">
        <v>481</v>
      </c>
      <c r="C191" s="223"/>
      <c r="D191" s="223"/>
      <c r="E191" s="224" t="s">
        <v>480</v>
      </c>
      <c r="F191" s="224"/>
      <c r="G191" s="224"/>
      <c r="H191" s="224"/>
      <c r="I191" s="224"/>
      <c r="J191" s="224"/>
      <c r="K191" s="224"/>
      <c r="L191" s="225" t="s">
        <v>261</v>
      </c>
      <c r="M191" s="225"/>
      <c r="N191" s="204">
        <v>0</v>
      </c>
      <c r="O191" s="204"/>
      <c r="P191" s="204"/>
      <c r="Q191" s="204"/>
      <c r="R191" s="204">
        <v>0</v>
      </c>
      <c r="S191" s="204"/>
      <c r="T191" s="204"/>
      <c r="U191" s="204"/>
      <c r="V191" s="245"/>
      <c r="W191" s="246"/>
      <c r="X191" s="246"/>
      <c r="Y191" s="246"/>
      <c r="Z191" s="246"/>
      <c r="AA191" s="246"/>
      <c r="AB191" s="246"/>
      <c r="AC191" s="246"/>
      <c r="AD191" s="247"/>
    </row>
    <row r="192" spans="2:30" ht="13.05" customHeight="1">
      <c r="B192" s="223"/>
      <c r="C192" s="223"/>
      <c r="D192" s="223"/>
      <c r="E192" s="224"/>
      <c r="F192" s="224"/>
      <c r="G192" s="224"/>
      <c r="H192" s="224"/>
      <c r="I192" s="224"/>
      <c r="J192" s="224"/>
      <c r="K192" s="224"/>
      <c r="L192" s="225"/>
      <c r="M192" s="225"/>
      <c r="N192" s="204"/>
      <c r="O192" s="204"/>
      <c r="P192" s="204"/>
      <c r="Q192" s="204"/>
      <c r="R192" s="204"/>
      <c r="S192" s="204"/>
      <c r="T192" s="204"/>
      <c r="U192" s="204"/>
      <c r="V192" s="248"/>
      <c r="W192" s="249"/>
      <c r="X192" s="249"/>
      <c r="Y192" s="249"/>
      <c r="Z192" s="249"/>
      <c r="AA192" s="249"/>
      <c r="AB192" s="249"/>
      <c r="AC192" s="249"/>
      <c r="AD192" s="250"/>
    </row>
    <row r="193" spans="2:30">
      <c r="B193" s="318" t="s">
        <v>617</v>
      </c>
      <c r="C193" s="318"/>
      <c r="D193" s="318"/>
      <c r="E193" s="319" t="s">
        <v>618</v>
      </c>
      <c r="F193" s="319"/>
      <c r="G193" s="319"/>
      <c r="H193" s="319"/>
      <c r="I193" s="319"/>
      <c r="J193" s="319"/>
      <c r="K193" s="319"/>
      <c r="L193" s="225" t="s">
        <v>261</v>
      </c>
      <c r="M193" s="225"/>
      <c r="N193" s="204">
        <v>0</v>
      </c>
      <c r="O193" s="204"/>
      <c r="P193" s="204"/>
      <c r="Q193" s="204"/>
      <c r="R193" s="204">
        <v>0</v>
      </c>
      <c r="S193" s="204"/>
      <c r="T193" s="204"/>
      <c r="U193" s="204"/>
      <c r="V193" s="320"/>
      <c r="W193" s="321"/>
      <c r="X193" s="321"/>
      <c r="Y193" s="321"/>
      <c r="Z193" s="321"/>
      <c r="AA193" s="321"/>
      <c r="AB193" s="321"/>
      <c r="AC193" s="321"/>
      <c r="AD193" s="322"/>
    </row>
    <row r="194" spans="2:30">
      <c r="B194" s="318"/>
      <c r="C194" s="318"/>
      <c r="D194" s="318"/>
      <c r="E194" s="319"/>
      <c r="F194" s="319"/>
      <c r="G194" s="319"/>
      <c r="H194" s="319"/>
      <c r="I194" s="319"/>
      <c r="J194" s="319"/>
      <c r="K194" s="319"/>
      <c r="L194" s="225"/>
      <c r="M194" s="225"/>
      <c r="N194" s="204"/>
      <c r="O194" s="204"/>
      <c r="P194" s="204"/>
      <c r="Q194" s="204"/>
      <c r="R194" s="204"/>
      <c r="S194" s="204"/>
      <c r="T194" s="204"/>
      <c r="U194" s="204"/>
      <c r="V194" s="323"/>
      <c r="W194" s="324"/>
      <c r="X194" s="324"/>
      <c r="Y194" s="324"/>
      <c r="Z194" s="324"/>
      <c r="AA194" s="324"/>
      <c r="AB194" s="324"/>
      <c r="AC194" s="324"/>
      <c r="AD194" s="325"/>
    </row>
    <row r="195" spans="2:30">
      <c r="B195" s="223"/>
      <c r="C195" s="223"/>
      <c r="D195" s="223"/>
      <c r="E195" s="224"/>
      <c r="F195" s="224"/>
      <c r="G195" s="224"/>
      <c r="H195" s="224"/>
      <c r="I195" s="224"/>
      <c r="J195" s="224"/>
      <c r="K195" s="224"/>
      <c r="L195" s="225"/>
      <c r="M195" s="225"/>
      <c r="N195" s="204"/>
      <c r="O195" s="204"/>
      <c r="P195" s="204"/>
      <c r="Q195" s="204"/>
      <c r="R195" s="204"/>
      <c r="S195" s="204"/>
      <c r="T195" s="204"/>
      <c r="U195" s="204"/>
      <c r="V195" s="245"/>
      <c r="W195" s="246"/>
      <c r="X195" s="246"/>
      <c r="Y195" s="246"/>
      <c r="Z195" s="246"/>
      <c r="AA195" s="246"/>
      <c r="AB195" s="246"/>
      <c r="AC195" s="246"/>
      <c r="AD195" s="247"/>
    </row>
    <row r="196" spans="2:30">
      <c r="B196" s="223"/>
      <c r="C196" s="223"/>
      <c r="D196" s="223"/>
      <c r="E196" s="224"/>
      <c r="F196" s="224"/>
      <c r="G196" s="224"/>
      <c r="H196" s="224"/>
      <c r="I196" s="224"/>
      <c r="J196" s="224"/>
      <c r="K196" s="224"/>
      <c r="L196" s="225"/>
      <c r="M196" s="225"/>
      <c r="N196" s="204"/>
      <c r="O196" s="204"/>
      <c r="P196" s="204"/>
      <c r="Q196" s="204"/>
      <c r="R196" s="204"/>
      <c r="S196" s="204"/>
      <c r="T196" s="204"/>
      <c r="U196" s="204"/>
      <c r="V196" s="248"/>
      <c r="W196" s="249"/>
      <c r="X196" s="249"/>
      <c r="Y196" s="249"/>
      <c r="Z196" s="249"/>
      <c r="AA196" s="249"/>
      <c r="AB196" s="249"/>
      <c r="AC196" s="249"/>
      <c r="AD196" s="250"/>
    </row>
    <row r="197" spans="2:30">
      <c r="B197" s="223" t="s">
        <v>479</v>
      </c>
      <c r="C197" s="223"/>
      <c r="D197" s="223"/>
      <c r="E197" s="319" t="s">
        <v>478</v>
      </c>
      <c r="F197" s="319"/>
      <c r="G197" s="319"/>
      <c r="H197" s="319"/>
      <c r="I197" s="319"/>
      <c r="J197" s="319"/>
      <c r="K197" s="319"/>
      <c r="L197" s="225" t="s">
        <v>261</v>
      </c>
      <c r="M197" s="225"/>
      <c r="N197" s="204">
        <v>0</v>
      </c>
      <c r="O197" s="204"/>
      <c r="P197" s="204"/>
      <c r="Q197" s="204"/>
      <c r="R197" s="204">
        <v>0</v>
      </c>
      <c r="S197" s="204"/>
      <c r="T197" s="204"/>
      <c r="U197" s="204"/>
      <c r="V197" s="320"/>
      <c r="W197" s="326"/>
      <c r="X197" s="326"/>
      <c r="Y197" s="326"/>
      <c r="Z197" s="326"/>
      <c r="AA197" s="326"/>
      <c r="AB197" s="326"/>
      <c r="AC197" s="326"/>
      <c r="AD197" s="327"/>
    </row>
    <row r="198" spans="2:30">
      <c r="B198" s="223"/>
      <c r="C198" s="223"/>
      <c r="D198" s="223"/>
      <c r="E198" s="319"/>
      <c r="F198" s="319"/>
      <c r="G198" s="319"/>
      <c r="H198" s="319"/>
      <c r="I198" s="319"/>
      <c r="J198" s="319"/>
      <c r="K198" s="319"/>
      <c r="L198" s="225"/>
      <c r="M198" s="225"/>
      <c r="N198" s="204"/>
      <c r="O198" s="204"/>
      <c r="P198" s="204"/>
      <c r="Q198" s="204"/>
      <c r="R198" s="204"/>
      <c r="S198" s="204"/>
      <c r="T198" s="204"/>
      <c r="U198" s="204"/>
      <c r="V198" s="328"/>
      <c r="W198" s="329"/>
      <c r="X198" s="329"/>
      <c r="Y198" s="329"/>
      <c r="Z198" s="329"/>
      <c r="AA198" s="329"/>
      <c r="AB198" s="329"/>
      <c r="AC198" s="329"/>
      <c r="AD198" s="330"/>
    </row>
    <row r="199" spans="2:30" ht="13.05" customHeight="1">
      <c r="B199" s="223" t="s">
        <v>477</v>
      </c>
      <c r="C199" s="223"/>
      <c r="D199" s="223"/>
      <c r="E199" s="331" t="s">
        <v>476</v>
      </c>
      <c r="F199" s="331"/>
      <c r="G199" s="331"/>
      <c r="H199" s="331"/>
      <c r="I199" s="331"/>
      <c r="J199" s="331"/>
      <c r="K199" s="331"/>
      <c r="L199" s="225" t="s">
        <v>419</v>
      </c>
      <c r="M199" s="225"/>
      <c r="N199" s="204">
        <v>0</v>
      </c>
      <c r="O199" s="204"/>
      <c r="P199" s="204"/>
      <c r="Q199" s="204"/>
      <c r="R199" s="204">
        <v>0</v>
      </c>
      <c r="S199" s="204"/>
      <c r="T199" s="204"/>
      <c r="U199" s="204"/>
      <c r="V199" s="245"/>
      <c r="W199" s="246"/>
      <c r="X199" s="246"/>
      <c r="Y199" s="246"/>
      <c r="Z199" s="246"/>
      <c r="AA199" s="246"/>
      <c r="AB199" s="246"/>
      <c r="AC199" s="246"/>
      <c r="AD199" s="247"/>
    </row>
    <row r="200" spans="2:30" ht="13.05" customHeight="1">
      <c r="B200" s="223"/>
      <c r="C200" s="223"/>
      <c r="D200" s="223"/>
      <c r="E200" s="331"/>
      <c r="F200" s="331"/>
      <c r="G200" s="331"/>
      <c r="H200" s="331"/>
      <c r="I200" s="331"/>
      <c r="J200" s="331"/>
      <c r="K200" s="331"/>
      <c r="L200" s="225"/>
      <c r="M200" s="225"/>
      <c r="N200" s="204"/>
      <c r="O200" s="204"/>
      <c r="P200" s="204"/>
      <c r="Q200" s="204"/>
      <c r="R200" s="204"/>
      <c r="S200" s="204"/>
      <c r="T200" s="204"/>
      <c r="U200" s="204"/>
      <c r="V200" s="248"/>
      <c r="W200" s="249"/>
      <c r="X200" s="249"/>
      <c r="Y200" s="249"/>
      <c r="Z200" s="249"/>
      <c r="AA200" s="249"/>
      <c r="AB200" s="249"/>
      <c r="AC200" s="249"/>
      <c r="AD200" s="250"/>
    </row>
    <row r="201" spans="2:30">
      <c r="B201" s="318" t="s">
        <v>475</v>
      </c>
      <c r="C201" s="318"/>
      <c r="D201" s="318"/>
      <c r="E201" s="332" t="s">
        <v>474</v>
      </c>
      <c r="F201" s="332"/>
      <c r="G201" s="332"/>
      <c r="H201" s="332"/>
      <c r="I201" s="332"/>
      <c r="J201" s="332"/>
      <c r="K201" s="332"/>
      <c r="L201" s="225" t="s">
        <v>261</v>
      </c>
      <c r="M201" s="225"/>
      <c r="N201" s="204">
        <v>0</v>
      </c>
      <c r="O201" s="204"/>
      <c r="P201" s="204"/>
      <c r="Q201" s="204"/>
      <c r="R201" s="204">
        <v>0</v>
      </c>
      <c r="S201" s="204"/>
      <c r="T201" s="204"/>
      <c r="U201" s="204"/>
      <c r="V201" s="320"/>
      <c r="W201" s="326"/>
      <c r="X201" s="326"/>
      <c r="Y201" s="326"/>
      <c r="Z201" s="326"/>
      <c r="AA201" s="326"/>
      <c r="AB201" s="326"/>
      <c r="AC201" s="326"/>
      <c r="AD201" s="327"/>
    </row>
    <row r="202" spans="2:30">
      <c r="B202" s="318"/>
      <c r="C202" s="318"/>
      <c r="D202" s="318"/>
      <c r="E202" s="332"/>
      <c r="F202" s="332"/>
      <c r="G202" s="332"/>
      <c r="H202" s="332"/>
      <c r="I202" s="332"/>
      <c r="J202" s="332"/>
      <c r="K202" s="332"/>
      <c r="L202" s="225"/>
      <c r="M202" s="225"/>
      <c r="N202" s="204"/>
      <c r="O202" s="204"/>
      <c r="P202" s="204"/>
      <c r="Q202" s="204"/>
      <c r="R202" s="204"/>
      <c r="S202" s="204"/>
      <c r="T202" s="204"/>
      <c r="U202" s="204"/>
      <c r="V202" s="328"/>
      <c r="W202" s="329"/>
      <c r="X202" s="329"/>
      <c r="Y202" s="329"/>
      <c r="Z202" s="329"/>
      <c r="AA202" s="329"/>
      <c r="AB202" s="329"/>
      <c r="AC202" s="329"/>
      <c r="AD202" s="330"/>
    </row>
    <row r="203" spans="2:30">
      <c r="B203" s="297" t="s">
        <v>473</v>
      </c>
      <c r="C203" s="223"/>
      <c r="D203" s="223"/>
      <c r="E203" s="224" t="s">
        <v>472</v>
      </c>
      <c r="F203" s="224"/>
      <c r="G203" s="224"/>
      <c r="H203" s="224"/>
      <c r="I203" s="224"/>
      <c r="J203" s="224"/>
      <c r="K203" s="224"/>
      <c r="L203" s="225" t="s">
        <v>419</v>
      </c>
      <c r="M203" s="225"/>
      <c r="N203" s="204">
        <v>0</v>
      </c>
      <c r="O203" s="204"/>
      <c r="P203" s="204"/>
      <c r="Q203" s="204"/>
      <c r="R203" s="204">
        <v>0</v>
      </c>
      <c r="S203" s="204"/>
      <c r="T203" s="204"/>
      <c r="U203" s="204"/>
      <c r="V203" s="245"/>
      <c r="W203" s="246"/>
      <c r="X203" s="246"/>
      <c r="Y203" s="246"/>
      <c r="Z203" s="246"/>
      <c r="AA203" s="246"/>
      <c r="AB203" s="246"/>
      <c r="AC203" s="246"/>
      <c r="AD203" s="247"/>
    </row>
    <row r="204" spans="2:30">
      <c r="B204" s="223"/>
      <c r="C204" s="223"/>
      <c r="D204" s="223"/>
      <c r="E204" s="224"/>
      <c r="F204" s="224"/>
      <c r="G204" s="224"/>
      <c r="H204" s="224"/>
      <c r="I204" s="224"/>
      <c r="J204" s="224"/>
      <c r="K204" s="224"/>
      <c r="L204" s="225"/>
      <c r="M204" s="225"/>
      <c r="N204" s="204"/>
      <c r="O204" s="204"/>
      <c r="P204" s="204"/>
      <c r="Q204" s="204"/>
      <c r="R204" s="204"/>
      <c r="S204" s="204"/>
      <c r="T204" s="204"/>
      <c r="U204" s="204"/>
      <c r="V204" s="248"/>
      <c r="W204" s="249"/>
      <c r="X204" s="249"/>
      <c r="Y204" s="249"/>
      <c r="Z204" s="249"/>
      <c r="AA204" s="249"/>
      <c r="AB204" s="249"/>
      <c r="AC204" s="249"/>
      <c r="AD204" s="250"/>
    </row>
    <row r="205" spans="2:30" ht="13.05" customHeight="1">
      <c r="B205" s="223" t="s">
        <v>471</v>
      </c>
      <c r="C205" s="223"/>
      <c r="D205" s="223"/>
      <c r="E205" s="224" t="s">
        <v>470</v>
      </c>
      <c r="F205" s="224"/>
      <c r="G205" s="224"/>
      <c r="H205" s="224"/>
      <c r="I205" s="224"/>
      <c r="J205" s="224"/>
      <c r="K205" s="224"/>
      <c r="L205" s="225" t="s">
        <v>261</v>
      </c>
      <c r="M205" s="225"/>
      <c r="N205" s="204">
        <v>0</v>
      </c>
      <c r="O205" s="204"/>
      <c r="P205" s="204"/>
      <c r="Q205" s="204"/>
      <c r="R205" s="204">
        <v>0</v>
      </c>
      <c r="S205" s="204"/>
      <c r="T205" s="204"/>
      <c r="U205" s="204"/>
      <c r="V205" s="245"/>
      <c r="W205" s="246"/>
      <c r="X205" s="246"/>
      <c r="Y205" s="246"/>
      <c r="Z205" s="246"/>
      <c r="AA205" s="246"/>
      <c r="AB205" s="246"/>
      <c r="AC205" s="246"/>
      <c r="AD205" s="247"/>
    </row>
    <row r="206" spans="2:30" ht="13.05" customHeight="1">
      <c r="B206" s="223"/>
      <c r="C206" s="223"/>
      <c r="D206" s="223"/>
      <c r="E206" s="224"/>
      <c r="F206" s="224"/>
      <c r="G206" s="224"/>
      <c r="H206" s="224"/>
      <c r="I206" s="224"/>
      <c r="J206" s="224"/>
      <c r="K206" s="224"/>
      <c r="L206" s="225"/>
      <c r="M206" s="225"/>
      <c r="N206" s="204"/>
      <c r="O206" s="204"/>
      <c r="P206" s="204"/>
      <c r="Q206" s="204"/>
      <c r="R206" s="204"/>
      <c r="S206" s="204"/>
      <c r="T206" s="204"/>
      <c r="U206" s="204"/>
      <c r="V206" s="248"/>
      <c r="W206" s="249"/>
      <c r="X206" s="249"/>
      <c r="Y206" s="249"/>
      <c r="Z206" s="249"/>
      <c r="AA206" s="249"/>
      <c r="AB206" s="249"/>
      <c r="AC206" s="249"/>
      <c r="AD206" s="250"/>
    </row>
    <row r="207" spans="2:30" ht="13.05" customHeight="1">
      <c r="B207" s="223" t="s">
        <v>469</v>
      </c>
      <c r="C207" s="223"/>
      <c r="D207" s="223"/>
      <c r="E207" s="224" t="s">
        <v>468</v>
      </c>
      <c r="F207" s="224"/>
      <c r="G207" s="224"/>
      <c r="H207" s="224"/>
      <c r="I207" s="224"/>
      <c r="J207" s="224"/>
      <c r="K207" s="224"/>
      <c r="L207" s="225" t="s">
        <v>446</v>
      </c>
      <c r="M207" s="225"/>
      <c r="N207" s="204">
        <v>0</v>
      </c>
      <c r="O207" s="204"/>
      <c r="P207" s="204"/>
      <c r="Q207" s="204"/>
      <c r="R207" s="204">
        <v>0</v>
      </c>
      <c r="S207" s="204"/>
      <c r="T207" s="204"/>
      <c r="U207" s="204"/>
      <c r="V207" s="245"/>
      <c r="W207" s="246"/>
      <c r="X207" s="246"/>
      <c r="Y207" s="246"/>
      <c r="Z207" s="246"/>
      <c r="AA207" s="246"/>
      <c r="AB207" s="246"/>
      <c r="AC207" s="246"/>
      <c r="AD207" s="247"/>
    </row>
    <row r="208" spans="2:30" ht="13.05" customHeight="1">
      <c r="B208" s="223"/>
      <c r="C208" s="223"/>
      <c r="D208" s="223"/>
      <c r="E208" s="224"/>
      <c r="F208" s="224"/>
      <c r="G208" s="224"/>
      <c r="H208" s="224"/>
      <c r="I208" s="224"/>
      <c r="J208" s="224"/>
      <c r="K208" s="224"/>
      <c r="L208" s="225"/>
      <c r="M208" s="225"/>
      <c r="N208" s="204"/>
      <c r="O208" s="204"/>
      <c r="P208" s="204"/>
      <c r="Q208" s="204"/>
      <c r="R208" s="204"/>
      <c r="S208" s="204"/>
      <c r="T208" s="204"/>
      <c r="U208" s="204"/>
      <c r="V208" s="248"/>
      <c r="W208" s="249"/>
      <c r="X208" s="249"/>
      <c r="Y208" s="249"/>
      <c r="Z208" s="249"/>
      <c r="AA208" s="249"/>
      <c r="AB208" s="249"/>
      <c r="AC208" s="249"/>
      <c r="AD208" s="250"/>
    </row>
    <row r="209" spans="2:30" ht="13.05" customHeight="1">
      <c r="B209" s="223" t="s">
        <v>467</v>
      </c>
      <c r="C209" s="223"/>
      <c r="D209" s="223"/>
      <c r="E209" s="224" t="s">
        <v>466</v>
      </c>
      <c r="F209" s="224"/>
      <c r="G209" s="224"/>
      <c r="H209" s="224"/>
      <c r="I209" s="224"/>
      <c r="J209" s="224"/>
      <c r="K209" s="224"/>
      <c r="L209" s="225" t="s">
        <v>446</v>
      </c>
      <c r="M209" s="225"/>
      <c r="N209" s="204">
        <v>0</v>
      </c>
      <c r="O209" s="204"/>
      <c r="P209" s="204"/>
      <c r="Q209" s="204"/>
      <c r="R209" s="204">
        <v>0</v>
      </c>
      <c r="S209" s="204"/>
      <c r="T209" s="204"/>
      <c r="U209" s="204"/>
      <c r="V209" s="245"/>
      <c r="W209" s="246"/>
      <c r="X209" s="246"/>
      <c r="Y209" s="246"/>
      <c r="Z209" s="246"/>
      <c r="AA209" s="246"/>
      <c r="AB209" s="246"/>
      <c r="AC209" s="246"/>
      <c r="AD209" s="247"/>
    </row>
    <row r="210" spans="2:30" ht="13.05" customHeight="1">
      <c r="B210" s="223"/>
      <c r="C210" s="223"/>
      <c r="D210" s="223"/>
      <c r="E210" s="224"/>
      <c r="F210" s="224"/>
      <c r="G210" s="224"/>
      <c r="H210" s="224"/>
      <c r="I210" s="224"/>
      <c r="J210" s="224"/>
      <c r="K210" s="224"/>
      <c r="L210" s="225"/>
      <c r="M210" s="225"/>
      <c r="N210" s="204"/>
      <c r="O210" s="204"/>
      <c r="P210" s="204"/>
      <c r="Q210" s="204"/>
      <c r="R210" s="204"/>
      <c r="S210" s="204"/>
      <c r="T210" s="204"/>
      <c r="U210" s="204"/>
      <c r="V210" s="248"/>
      <c r="W210" s="249"/>
      <c r="X210" s="249"/>
      <c r="Y210" s="249"/>
      <c r="Z210" s="249"/>
      <c r="AA210" s="249"/>
      <c r="AB210" s="249"/>
      <c r="AC210" s="249"/>
      <c r="AD210" s="250"/>
    </row>
    <row r="211" spans="2:30" ht="13.05" customHeight="1">
      <c r="B211" s="223" t="s">
        <v>465</v>
      </c>
      <c r="C211" s="223"/>
      <c r="D211" s="223"/>
      <c r="E211" s="224" t="s">
        <v>464</v>
      </c>
      <c r="F211" s="224"/>
      <c r="G211" s="224"/>
      <c r="H211" s="224"/>
      <c r="I211" s="224"/>
      <c r="J211" s="224"/>
      <c r="K211" s="224"/>
      <c r="L211" s="225" t="s">
        <v>446</v>
      </c>
      <c r="M211" s="225"/>
      <c r="N211" s="204">
        <v>0</v>
      </c>
      <c r="O211" s="204"/>
      <c r="P211" s="204"/>
      <c r="Q211" s="204"/>
      <c r="R211" s="204">
        <v>0</v>
      </c>
      <c r="S211" s="204"/>
      <c r="T211" s="204"/>
      <c r="U211" s="204"/>
      <c r="V211" s="245"/>
      <c r="W211" s="246"/>
      <c r="X211" s="246"/>
      <c r="Y211" s="246"/>
      <c r="Z211" s="246"/>
      <c r="AA211" s="246"/>
      <c r="AB211" s="246"/>
      <c r="AC211" s="246"/>
      <c r="AD211" s="247"/>
    </row>
    <row r="212" spans="2:30" ht="13.05" customHeight="1">
      <c r="B212" s="223"/>
      <c r="C212" s="223"/>
      <c r="D212" s="223"/>
      <c r="E212" s="224"/>
      <c r="F212" s="224"/>
      <c r="G212" s="224"/>
      <c r="H212" s="224"/>
      <c r="I212" s="224"/>
      <c r="J212" s="224"/>
      <c r="K212" s="224"/>
      <c r="L212" s="225"/>
      <c r="M212" s="225"/>
      <c r="N212" s="204"/>
      <c r="O212" s="204"/>
      <c r="P212" s="204"/>
      <c r="Q212" s="204"/>
      <c r="R212" s="204"/>
      <c r="S212" s="204"/>
      <c r="T212" s="204"/>
      <c r="U212" s="204"/>
      <c r="V212" s="248"/>
      <c r="W212" s="249"/>
      <c r="X212" s="249"/>
      <c r="Y212" s="249"/>
      <c r="Z212" s="249"/>
      <c r="AA212" s="249"/>
      <c r="AB212" s="249"/>
      <c r="AC212" s="249"/>
      <c r="AD212" s="250"/>
    </row>
    <row r="213" spans="2:30">
      <c r="B213" s="223"/>
      <c r="C213" s="223"/>
      <c r="D213" s="223"/>
      <c r="E213" s="224"/>
      <c r="F213" s="224"/>
      <c r="G213" s="224"/>
      <c r="H213" s="224"/>
      <c r="I213" s="224"/>
      <c r="J213" s="224"/>
      <c r="K213" s="224"/>
      <c r="L213" s="225"/>
      <c r="M213" s="225"/>
      <c r="N213" s="204"/>
      <c r="O213" s="204"/>
      <c r="P213" s="204"/>
      <c r="Q213" s="204"/>
      <c r="R213" s="204"/>
      <c r="S213" s="204"/>
      <c r="T213" s="204"/>
      <c r="U213" s="204"/>
      <c r="V213" s="245"/>
      <c r="W213" s="246"/>
      <c r="X213" s="246"/>
      <c r="Y213" s="246"/>
      <c r="Z213" s="246"/>
      <c r="AA213" s="246"/>
      <c r="AB213" s="246"/>
      <c r="AC213" s="246"/>
      <c r="AD213" s="247"/>
    </row>
    <row r="214" spans="2:30">
      <c r="B214" s="223"/>
      <c r="C214" s="223"/>
      <c r="D214" s="223"/>
      <c r="E214" s="224"/>
      <c r="F214" s="224"/>
      <c r="G214" s="224"/>
      <c r="H214" s="224"/>
      <c r="I214" s="224"/>
      <c r="J214" s="224"/>
      <c r="K214" s="224"/>
      <c r="L214" s="225"/>
      <c r="M214" s="225"/>
      <c r="N214" s="204"/>
      <c r="O214" s="204"/>
      <c r="P214" s="204"/>
      <c r="Q214" s="204"/>
      <c r="R214" s="204"/>
      <c r="S214" s="204"/>
      <c r="T214" s="204"/>
      <c r="U214" s="204"/>
      <c r="V214" s="248"/>
      <c r="W214" s="249"/>
      <c r="X214" s="249"/>
      <c r="Y214" s="249"/>
      <c r="Z214" s="249"/>
      <c r="AA214" s="249"/>
      <c r="AB214" s="249"/>
      <c r="AC214" s="249"/>
      <c r="AD214" s="250"/>
    </row>
    <row r="215" spans="2:30">
      <c r="C215" s="22" t="str">
        <f>C71</f>
        <v>(様式-販売-１)Rev.2025.05.20</v>
      </c>
      <c r="Y215" s="285" t="s">
        <v>418</v>
      </c>
      <c r="Z215" s="285"/>
      <c r="AA215" s="285"/>
      <c r="AB215" s="285"/>
      <c r="AC215" s="285"/>
      <c r="AD215" s="285"/>
    </row>
    <row r="216" spans="2:30">
      <c r="B216" s="22" t="s">
        <v>417</v>
      </c>
      <c r="Y216" s="286"/>
      <c r="Z216" s="286"/>
      <c r="AA216" s="286"/>
      <c r="AB216" s="286"/>
      <c r="AC216" s="286"/>
      <c r="AD216" s="286"/>
    </row>
    <row r="218" spans="2:30" ht="19.8" thickBot="1">
      <c r="D218" s="287">
        <v>284</v>
      </c>
      <c r="E218" s="287"/>
      <c r="F218" s="333" t="s">
        <v>463</v>
      </c>
      <c r="G218" s="333"/>
      <c r="H218" s="333"/>
      <c r="I218" s="333"/>
      <c r="J218" s="333"/>
      <c r="K218" s="333"/>
      <c r="L218" s="333"/>
      <c r="M218" s="333"/>
      <c r="N218" s="333"/>
      <c r="O218" s="333"/>
      <c r="P218" s="333"/>
      <c r="Q218" s="333"/>
      <c r="R218" s="333"/>
      <c r="S218" s="333"/>
      <c r="T218" s="333"/>
      <c r="U218" s="333"/>
      <c r="V218" s="333"/>
      <c r="W218" s="333"/>
      <c r="X218" s="333"/>
      <c r="Y218" s="333"/>
      <c r="Z218" s="333"/>
      <c r="AA218" s="333"/>
      <c r="AB218" s="333"/>
    </row>
    <row r="219" spans="2:30" ht="13.8" thickTop="1">
      <c r="AC219" s="334" t="s">
        <v>307</v>
      </c>
      <c r="AD219" s="334"/>
    </row>
    <row r="220" spans="2:30" ht="13.2" customHeight="1">
      <c r="B220" s="204" t="s">
        <v>298</v>
      </c>
      <c r="C220" s="204"/>
      <c r="D220" s="204"/>
      <c r="E220" s="204"/>
      <c r="F220" s="204"/>
      <c r="G220" s="204"/>
      <c r="H220" s="204"/>
      <c r="I220" s="204"/>
      <c r="J220" s="204"/>
      <c r="K220" s="204"/>
      <c r="L220" s="206" t="s">
        <v>297</v>
      </c>
      <c r="M220" s="206"/>
      <c r="N220" s="208" t="s">
        <v>296</v>
      </c>
      <c r="O220" s="208"/>
      <c r="P220" s="208"/>
      <c r="Q220" s="208"/>
      <c r="R220" s="208"/>
      <c r="S220" s="208"/>
      <c r="T220" s="208"/>
      <c r="U220" s="208"/>
      <c r="V220" s="209" t="s">
        <v>420</v>
      </c>
      <c r="W220" s="210"/>
      <c r="X220" s="210"/>
      <c r="Y220" s="210"/>
      <c r="Z220" s="210"/>
      <c r="AA220" s="210"/>
      <c r="AB220" s="210"/>
      <c r="AC220" s="210"/>
      <c r="AD220" s="211"/>
    </row>
    <row r="221" spans="2:30" ht="13.2" customHeight="1">
      <c r="B221" s="204"/>
      <c r="C221" s="204"/>
      <c r="D221" s="204"/>
      <c r="E221" s="204"/>
      <c r="F221" s="204"/>
      <c r="G221" s="204"/>
      <c r="H221" s="204"/>
      <c r="I221" s="204"/>
      <c r="J221" s="204"/>
      <c r="K221" s="204"/>
      <c r="L221" s="206"/>
      <c r="M221" s="206"/>
      <c r="N221" s="208"/>
      <c r="O221" s="208"/>
      <c r="P221" s="208"/>
      <c r="Q221" s="208"/>
      <c r="R221" s="208"/>
      <c r="S221" s="208"/>
      <c r="T221" s="208"/>
      <c r="U221" s="208"/>
      <c r="V221" s="212"/>
      <c r="W221" s="213"/>
      <c r="X221" s="213"/>
      <c r="Y221" s="213"/>
      <c r="Z221" s="213"/>
      <c r="AA221" s="213"/>
      <c r="AB221" s="213"/>
      <c r="AC221" s="213"/>
      <c r="AD221" s="214"/>
    </row>
    <row r="222" spans="2:30" ht="13.2" customHeight="1">
      <c r="B222" s="204"/>
      <c r="C222" s="204"/>
      <c r="D222" s="204"/>
      <c r="E222" s="204"/>
      <c r="F222" s="204"/>
      <c r="G222" s="204"/>
      <c r="H222" s="204"/>
      <c r="I222" s="204"/>
      <c r="J222" s="204"/>
      <c r="K222" s="204"/>
      <c r="L222" s="206"/>
      <c r="M222" s="206"/>
      <c r="N222" s="208" t="s">
        <v>294</v>
      </c>
      <c r="O222" s="208"/>
      <c r="P222" s="208"/>
      <c r="Q222" s="208"/>
      <c r="R222" s="208" t="s">
        <v>293</v>
      </c>
      <c r="S222" s="208"/>
      <c r="T222" s="208"/>
      <c r="U222" s="208"/>
      <c r="V222" s="212"/>
      <c r="W222" s="213"/>
      <c r="X222" s="213"/>
      <c r="Y222" s="213"/>
      <c r="Z222" s="213"/>
      <c r="AA222" s="213"/>
      <c r="AB222" s="213"/>
      <c r="AC222" s="213"/>
      <c r="AD222" s="214"/>
    </row>
    <row r="223" spans="2:30" ht="13.95" customHeight="1" thickBot="1">
      <c r="B223" s="205"/>
      <c r="C223" s="205"/>
      <c r="D223" s="205"/>
      <c r="E223" s="205"/>
      <c r="F223" s="205"/>
      <c r="G223" s="205"/>
      <c r="H223" s="205"/>
      <c r="I223" s="205"/>
      <c r="J223" s="205"/>
      <c r="K223" s="205"/>
      <c r="L223" s="207"/>
      <c r="M223" s="207"/>
      <c r="N223" s="218"/>
      <c r="O223" s="218"/>
      <c r="P223" s="218"/>
      <c r="Q223" s="218"/>
      <c r="R223" s="218"/>
      <c r="S223" s="218"/>
      <c r="T223" s="218"/>
      <c r="U223" s="218"/>
      <c r="V223" s="215"/>
      <c r="W223" s="216"/>
      <c r="X223" s="216"/>
      <c r="Y223" s="216"/>
      <c r="Z223" s="216"/>
      <c r="AA223" s="216"/>
      <c r="AB223" s="216"/>
      <c r="AC223" s="216"/>
      <c r="AD223" s="217"/>
    </row>
    <row r="224" spans="2:30" ht="13.8" thickTop="1">
      <c r="B224" s="177"/>
      <c r="C224" s="178"/>
      <c r="D224" s="179"/>
      <c r="E224" s="178"/>
      <c r="F224" s="178"/>
      <c r="G224" s="178"/>
      <c r="H224" s="178"/>
      <c r="I224" s="178"/>
      <c r="J224" s="178"/>
      <c r="K224" s="179"/>
      <c r="L224" s="183"/>
      <c r="M224" s="183"/>
      <c r="N224" s="185"/>
      <c r="O224" s="185"/>
      <c r="P224" s="185"/>
      <c r="Q224" s="185"/>
      <c r="R224" s="185"/>
      <c r="S224" s="185"/>
      <c r="T224" s="185"/>
      <c r="U224" s="185"/>
      <c r="V224" s="187"/>
      <c r="W224" s="188"/>
      <c r="X224" s="188"/>
      <c r="Y224" s="188"/>
      <c r="Z224" s="188"/>
      <c r="AA224" s="188"/>
      <c r="AB224" s="188"/>
      <c r="AC224" s="188"/>
      <c r="AD224" s="189"/>
    </row>
    <row r="225" spans="2:30">
      <c r="B225" s="180"/>
      <c r="C225" s="181"/>
      <c r="D225" s="182"/>
      <c r="E225" s="181"/>
      <c r="F225" s="181"/>
      <c r="G225" s="181"/>
      <c r="H225" s="181"/>
      <c r="I225" s="181"/>
      <c r="J225" s="181"/>
      <c r="K225" s="182"/>
      <c r="L225" s="184"/>
      <c r="M225" s="184"/>
      <c r="N225" s="186"/>
      <c r="O225" s="186"/>
      <c r="P225" s="186"/>
      <c r="Q225" s="186"/>
      <c r="R225" s="186"/>
      <c r="S225" s="186"/>
      <c r="T225" s="186"/>
      <c r="U225" s="186"/>
      <c r="V225" s="190"/>
      <c r="W225" s="191"/>
      <c r="X225" s="191"/>
      <c r="Y225" s="191"/>
      <c r="Z225" s="191"/>
      <c r="AA225" s="191"/>
      <c r="AB225" s="191"/>
      <c r="AC225" s="191"/>
      <c r="AD225" s="192"/>
    </row>
    <row r="226" spans="2:30">
      <c r="B226" s="335" t="s">
        <v>619</v>
      </c>
      <c r="C226" s="335"/>
      <c r="D226" s="335"/>
      <c r="E226" s="224" t="s">
        <v>462</v>
      </c>
      <c r="F226" s="224"/>
      <c r="G226" s="224"/>
      <c r="H226" s="224"/>
      <c r="I226" s="224"/>
      <c r="J226" s="224"/>
      <c r="K226" s="224"/>
      <c r="L226" s="225" t="s">
        <v>446</v>
      </c>
      <c r="M226" s="225"/>
      <c r="N226" s="204">
        <v>0</v>
      </c>
      <c r="O226" s="204"/>
      <c r="P226" s="204"/>
      <c r="Q226" s="204"/>
      <c r="R226" s="204">
        <v>0</v>
      </c>
      <c r="S226" s="204"/>
      <c r="T226" s="204"/>
      <c r="U226" s="204"/>
      <c r="V226" s="245"/>
      <c r="W226" s="246"/>
      <c r="X226" s="246"/>
      <c r="Y226" s="246"/>
      <c r="Z226" s="246"/>
      <c r="AA226" s="246"/>
      <c r="AB226" s="246"/>
      <c r="AC226" s="246"/>
      <c r="AD226" s="247"/>
    </row>
    <row r="227" spans="2:30" ht="13.2" customHeight="1">
      <c r="B227" s="335"/>
      <c r="C227" s="335"/>
      <c r="D227" s="335"/>
      <c r="E227" s="224"/>
      <c r="F227" s="224"/>
      <c r="G227" s="224"/>
      <c r="H227" s="224"/>
      <c r="I227" s="224"/>
      <c r="J227" s="224"/>
      <c r="K227" s="224"/>
      <c r="L227" s="225"/>
      <c r="M227" s="225"/>
      <c r="N227" s="204"/>
      <c r="O227" s="204"/>
      <c r="P227" s="204"/>
      <c r="Q227" s="204"/>
      <c r="R227" s="204"/>
      <c r="S227" s="204"/>
      <c r="T227" s="204"/>
      <c r="U227" s="204"/>
      <c r="V227" s="248"/>
      <c r="W227" s="249"/>
      <c r="X227" s="249"/>
      <c r="Y227" s="249"/>
      <c r="Z227" s="249"/>
      <c r="AA227" s="249"/>
      <c r="AB227" s="249"/>
      <c r="AC227" s="249"/>
      <c r="AD227" s="250"/>
    </row>
    <row r="228" spans="2:30" ht="13.2" customHeight="1">
      <c r="B228" s="331" t="s">
        <v>461</v>
      </c>
      <c r="C228" s="331"/>
      <c r="D228" s="331"/>
      <c r="E228" s="224" t="s">
        <v>460</v>
      </c>
      <c r="F228" s="224"/>
      <c r="G228" s="224"/>
      <c r="H228" s="224"/>
      <c r="I228" s="224"/>
      <c r="J228" s="224"/>
      <c r="K228" s="224"/>
      <c r="L228" s="225" t="s">
        <v>428</v>
      </c>
      <c r="M228" s="225"/>
      <c r="N228" s="204">
        <v>0</v>
      </c>
      <c r="O228" s="204"/>
      <c r="P228" s="204"/>
      <c r="Q228" s="204"/>
      <c r="R228" s="204">
        <v>0</v>
      </c>
      <c r="S228" s="204"/>
      <c r="T228" s="204"/>
      <c r="U228" s="204"/>
      <c r="V228" s="245"/>
      <c r="W228" s="246"/>
      <c r="X228" s="246"/>
      <c r="Y228" s="246"/>
      <c r="Z228" s="246"/>
      <c r="AA228" s="246"/>
      <c r="AB228" s="246"/>
      <c r="AC228" s="246"/>
      <c r="AD228" s="247"/>
    </row>
    <row r="229" spans="2:30" ht="13.2" customHeight="1">
      <c r="B229" s="331"/>
      <c r="C229" s="331"/>
      <c r="D229" s="331"/>
      <c r="E229" s="224"/>
      <c r="F229" s="224"/>
      <c r="G229" s="224"/>
      <c r="H229" s="224"/>
      <c r="I229" s="224"/>
      <c r="J229" s="224"/>
      <c r="K229" s="224"/>
      <c r="L229" s="225"/>
      <c r="M229" s="225"/>
      <c r="N229" s="204"/>
      <c r="O229" s="204"/>
      <c r="P229" s="204"/>
      <c r="Q229" s="204"/>
      <c r="R229" s="204"/>
      <c r="S229" s="204"/>
      <c r="T229" s="204"/>
      <c r="U229" s="204"/>
      <c r="V229" s="248"/>
      <c r="W229" s="249"/>
      <c r="X229" s="249"/>
      <c r="Y229" s="249"/>
      <c r="Z229" s="249"/>
      <c r="AA229" s="249"/>
      <c r="AB229" s="249"/>
      <c r="AC229" s="249"/>
      <c r="AD229" s="250"/>
    </row>
    <row r="230" spans="2:30" ht="13.95" customHeight="1">
      <c r="B230" s="331" t="s">
        <v>459</v>
      </c>
      <c r="C230" s="331"/>
      <c r="D230" s="331"/>
      <c r="E230" s="224" t="s">
        <v>458</v>
      </c>
      <c r="F230" s="224"/>
      <c r="G230" s="224"/>
      <c r="H230" s="224"/>
      <c r="I230" s="224"/>
      <c r="J230" s="224"/>
      <c r="K230" s="224"/>
      <c r="L230" s="225" t="s">
        <v>446</v>
      </c>
      <c r="M230" s="225"/>
      <c r="N230" s="204">
        <v>0</v>
      </c>
      <c r="O230" s="204"/>
      <c r="P230" s="204"/>
      <c r="Q230" s="204"/>
      <c r="R230" s="204">
        <v>0</v>
      </c>
      <c r="S230" s="204"/>
      <c r="T230" s="204"/>
      <c r="U230" s="204"/>
      <c r="V230" s="245"/>
      <c r="W230" s="246"/>
      <c r="X230" s="246"/>
      <c r="Y230" s="246"/>
      <c r="Z230" s="246"/>
      <c r="AA230" s="246"/>
      <c r="AB230" s="246"/>
      <c r="AC230" s="246"/>
      <c r="AD230" s="247"/>
    </row>
    <row r="231" spans="2:30">
      <c r="B231" s="331"/>
      <c r="C231" s="331"/>
      <c r="D231" s="331"/>
      <c r="E231" s="224"/>
      <c r="F231" s="224"/>
      <c r="G231" s="224"/>
      <c r="H231" s="224"/>
      <c r="I231" s="224"/>
      <c r="J231" s="224"/>
      <c r="K231" s="224"/>
      <c r="L231" s="225"/>
      <c r="M231" s="225"/>
      <c r="N231" s="204"/>
      <c r="O231" s="204"/>
      <c r="P231" s="204"/>
      <c r="Q231" s="204"/>
      <c r="R231" s="204"/>
      <c r="S231" s="204"/>
      <c r="T231" s="204"/>
      <c r="U231" s="204"/>
      <c r="V231" s="248"/>
      <c r="W231" s="249"/>
      <c r="X231" s="249"/>
      <c r="Y231" s="249"/>
      <c r="Z231" s="249"/>
      <c r="AA231" s="249"/>
      <c r="AB231" s="249"/>
      <c r="AC231" s="249"/>
      <c r="AD231" s="250"/>
    </row>
    <row r="232" spans="2:30" ht="13.05" customHeight="1">
      <c r="B232" s="331" t="s">
        <v>457</v>
      </c>
      <c r="C232" s="331"/>
      <c r="D232" s="331"/>
      <c r="E232" s="224" t="s">
        <v>456</v>
      </c>
      <c r="F232" s="224"/>
      <c r="G232" s="224"/>
      <c r="H232" s="224"/>
      <c r="I232" s="224"/>
      <c r="J232" s="224"/>
      <c r="K232" s="224"/>
      <c r="L232" s="225" t="s">
        <v>261</v>
      </c>
      <c r="M232" s="225"/>
      <c r="N232" s="204">
        <v>0</v>
      </c>
      <c r="O232" s="204"/>
      <c r="P232" s="204"/>
      <c r="Q232" s="204"/>
      <c r="R232" s="204">
        <v>0</v>
      </c>
      <c r="S232" s="204"/>
      <c r="T232" s="204"/>
      <c r="U232" s="204"/>
      <c r="V232" s="245"/>
      <c r="W232" s="246"/>
      <c r="X232" s="246"/>
      <c r="Y232" s="246"/>
      <c r="Z232" s="246"/>
      <c r="AA232" s="246"/>
      <c r="AB232" s="246"/>
      <c r="AC232" s="246"/>
      <c r="AD232" s="247"/>
    </row>
    <row r="233" spans="2:30" ht="13.05" customHeight="1">
      <c r="B233" s="331"/>
      <c r="C233" s="331"/>
      <c r="D233" s="331"/>
      <c r="E233" s="224"/>
      <c r="F233" s="224"/>
      <c r="G233" s="224"/>
      <c r="H233" s="224"/>
      <c r="I233" s="224"/>
      <c r="J233" s="224"/>
      <c r="K233" s="224"/>
      <c r="L233" s="225"/>
      <c r="M233" s="225"/>
      <c r="N233" s="204"/>
      <c r="O233" s="204"/>
      <c r="P233" s="204"/>
      <c r="Q233" s="204"/>
      <c r="R233" s="204"/>
      <c r="S233" s="204"/>
      <c r="T233" s="204"/>
      <c r="U233" s="204"/>
      <c r="V233" s="248"/>
      <c r="W233" s="249"/>
      <c r="X233" s="249"/>
      <c r="Y233" s="249"/>
      <c r="Z233" s="249"/>
      <c r="AA233" s="249"/>
      <c r="AB233" s="249"/>
      <c r="AC233" s="249"/>
      <c r="AD233" s="250"/>
    </row>
    <row r="234" spans="2:30" ht="13.05" customHeight="1">
      <c r="B234" s="331" t="s">
        <v>455</v>
      </c>
      <c r="C234" s="331"/>
      <c r="D234" s="331"/>
      <c r="E234" s="224" t="s">
        <v>454</v>
      </c>
      <c r="F234" s="224"/>
      <c r="G234" s="224"/>
      <c r="H234" s="224"/>
      <c r="I234" s="224"/>
      <c r="J234" s="224"/>
      <c r="K234" s="224"/>
      <c r="L234" s="225" t="s">
        <v>373</v>
      </c>
      <c r="M234" s="225"/>
      <c r="N234" s="204">
        <v>0</v>
      </c>
      <c r="O234" s="204"/>
      <c r="P234" s="204"/>
      <c r="Q234" s="204"/>
      <c r="R234" s="204">
        <v>0</v>
      </c>
      <c r="S234" s="204"/>
      <c r="T234" s="204"/>
      <c r="U234" s="204"/>
      <c r="V234" s="245"/>
      <c r="W234" s="246"/>
      <c r="X234" s="246"/>
      <c r="Y234" s="246"/>
      <c r="Z234" s="246"/>
      <c r="AA234" s="246"/>
      <c r="AB234" s="246"/>
      <c r="AC234" s="246"/>
      <c r="AD234" s="247"/>
    </row>
    <row r="235" spans="2:30" ht="13.05" customHeight="1">
      <c r="B235" s="331"/>
      <c r="C235" s="331"/>
      <c r="D235" s="331"/>
      <c r="E235" s="224"/>
      <c r="F235" s="224"/>
      <c r="G235" s="224"/>
      <c r="H235" s="224"/>
      <c r="I235" s="224"/>
      <c r="J235" s="224"/>
      <c r="K235" s="224"/>
      <c r="L235" s="225"/>
      <c r="M235" s="225"/>
      <c r="N235" s="204"/>
      <c r="O235" s="204"/>
      <c r="P235" s="204"/>
      <c r="Q235" s="204"/>
      <c r="R235" s="204"/>
      <c r="S235" s="204"/>
      <c r="T235" s="204"/>
      <c r="U235" s="204"/>
      <c r="V235" s="248"/>
      <c r="W235" s="249"/>
      <c r="X235" s="249"/>
      <c r="Y235" s="249"/>
      <c r="Z235" s="249"/>
      <c r="AA235" s="249"/>
      <c r="AB235" s="249"/>
      <c r="AC235" s="249"/>
      <c r="AD235" s="250"/>
    </row>
    <row r="236" spans="2:30">
      <c r="B236" s="335" t="s">
        <v>620</v>
      </c>
      <c r="C236" s="335"/>
      <c r="D236" s="335"/>
      <c r="E236" s="224" t="s">
        <v>453</v>
      </c>
      <c r="F236" s="224"/>
      <c r="G236" s="224"/>
      <c r="H236" s="224"/>
      <c r="I236" s="224"/>
      <c r="J236" s="224"/>
      <c r="K236" s="224"/>
      <c r="L236" s="225" t="s">
        <v>428</v>
      </c>
      <c r="M236" s="225"/>
      <c r="N236" s="204">
        <v>0</v>
      </c>
      <c r="O236" s="204"/>
      <c r="P236" s="204"/>
      <c r="Q236" s="204"/>
      <c r="R236" s="204">
        <v>0</v>
      </c>
      <c r="S236" s="204"/>
      <c r="T236" s="204"/>
      <c r="U236" s="204"/>
      <c r="V236" s="245"/>
      <c r="W236" s="246"/>
      <c r="X236" s="246"/>
      <c r="Y236" s="246"/>
      <c r="Z236" s="246"/>
      <c r="AA236" s="246"/>
      <c r="AB236" s="246"/>
      <c r="AC236" s="246"/>
      <c r="AD236" s="247"/>
    </row>
    <row r="237" spans="2:30">
      <c r="B237" s="335"/>
      <c r="C237" s="335"/>
      <c r="D237" s="335"/>
      <c r="E237" s="224"/>
      <c r="F237" s="224"/>
      <c r="G237" s="224"/>
      <c r="H237" s="224"/>
      <c r="I237" s="224"/>
      <c r="J237" s="224"/>
      <c r="K237" s="224"/>
      <c r="L237" s="225"/>
      <c r="M237" s="225"/>
      <c r="N237" s="204"/>
      <c r="O237" s="204"/>
      <c r="P237" s="204"/>
      <c r="Q237" s="204"/>
      <c r="R237" s="204"/>
      <c r="S237" s="204"/>
      <c r="T237" s="204"/>
      <c r="U237" s="204"/>
      <c r="V237" s="248"/>
      <c r="W237" s="249"/>
      <c r="X237" s="249"/>
      <c r="Y237" s="249"/>
      <c r="Z237" s="249"/>
      <c r="AA237" s="249"/>
      <c r="AB237" s="249"/>
      <c r="AC237" s="249"/>
      <c r="AD237" s="250"/>
    </row>
    <row r="238" spans="2:30">
      <c r="B238" s="331" t="s">
        <v>452</v>
      </c>
      <c r="C238" s="331"/>
      <c r="D238" s="331"/>
      <c r="E238" s="224" t="s">
        <v>451</v>
      </c>
      <c r="F238" s="224"/>
      <c r="G238" s="224"/>
      <c r="H238" s="224"/>
      <c r="I238" s="224"/>
      <c r="J238" s="224"/>
      <c r="K238" s="224"/>
      <c r="L238" s="225" t="s">
        <v>428</v>
      </c>
      <c r="M238" s="225"/>
      <c r="N238" s="204">
        <v>0</v>
      </c>
      <c r="O238" s="204"/>
      <c r="P238" s="204"/>
      <c r="Q238" s="204"/>
      <c r="R238" s="204">
        <v>0</v>
      </c>
      <c r="S238" s="204"/>
      <c r="T238" s="204"/>
      <c r="U238" s="204"/>
      <c r="V238" s="245"/>
      <c r="W238" s="246"/>
      <c r="X238" s="246"/>
      <c r="Y238" s="246"/>
      <c r="Z238" s="246"/>
      <c r="AA238" s="246"/>
      <c r="AB238" s="246"/>
      <c r="AC238" s="246"/>
      <c r="AD238" s="247"/>
    </row>
    <row r="239" spans="2:30">
      <c r="B239" s="331"/>
      <c r="C239" s="331"/>
      <c r="D239" s="331"/>
      <c r="E239" s="224"/>
      <c r="F239" s="224"/>
      <c r="G239" s="224"/>
      <c r="H239" s="224"/>
      <c r="I239" s="224"/>
      <c r="J239" s="224"/>
      <c r="K239" s="224"/>
      <c r="L239" s="225"/>
      <c r="M239" s="225"/>
      <c r="N239" s="204"/>
      <c r="O239" s="204"/>
      <c r="P239" s="204"/>
      <c r="Q239" s="204"/>
      <c r="R239" s="204"/>
      <c r="S239" s="204"/>
      <c r="T239" s="204"/>
      <c r="U239" s="204"/>
      <c r="V239" s="248"/>
      <c r="W239" s="249"/>
      <c r="X239" s="249"/>
      <c r="Y239" s="249"/>
      <c r="Z239" s="249"/>
      <c r="AA239" s="249"/>
      <c r="AB239" s="249"/>
      <c r="AC239" s="249"/>
      <c r="AD239" s="250"/>
    </row>
    <row r="240" spans="2:30" ht="13.05" customHeight="1">
      <c r="B240" s="331" t="s">
        <v>450</v>
      </c>
      <c r="C240" s="331"/>
      <c r="D240" s="331"/>
      <c r="E240" s="224" t="s">
        <v>449</v>
      </c>
      <c r="F240" s="224"/>
      <c r="G240" s="224"/>
      <c r="H240" s="224"/>
      <c r="I240" s="224"/>
      <c r="J240" s="224"/>
      <c r="K240" s="224"/>
      <c r="L240" s="225" t="s">
        <v>446</v>
      </c>
      <c r="M240" s="225"/>
      <c r="N240" s="204">
        <v>0</v>
      </c>
      <c r="O240" s="204"/>
      <c r="P240" s="204"/>
      <c r="Q240" s="204"/>
      <c r="R240" s="204">
        <v>0</v>
      </c>
      <c r="S240" s="204"/>
      <c r="T240" s="204"/>
      <c r="U240" s="204"/>
      <c r="V240" s="245"/>
      <c r="W240" s="246"/>
      <c r="X240" s="246"/>
      <c r="Y240" s="246"/>
      <c r="Z240" s="246"/>
      <c r="AA240" s="246"/>
      <c r="AB240" s="246"/>
      <c r="AC240" s="246"/>
      <c r="AD240" s="247"/>
    </row>
    <row r="241" spans="2:30" ht="13.05" customHeight="1">
      <c r="B241" s="331"/>
      <c r="C241" s="331"/>
      <c r="D241" s="331"/>
      <c r="E241" s="224"/>
      <c r="F241" s="224"/>
      <c r="G241" s="224"/>
      <c r="H241" s="224"/>
      <c r="I241" s="224"/>
      <c r="J241" s="224"/>
      <c r="K241" s="224"/>
      <c r="L241" s="225"/>
      <c r="M241" s="225"/>
      <c r="N241" s="204"/>
      <c r="O241" s="204"/>
      <c r="P241" s="204"/>
      <c r="Q241" s="204"/>
      <c r="R241" s="204"/>
      <c r="S241" s="204"/>
      <c r="T241" s="204"/>
      <c r="U241" s="204"/>
      <c r="V241" s="248"/>
      <c r="W241" s="249"/>
      <c r="X241" s="249"/>
      <c r="Y241" s="249"/>
      <c r="Z241" s="249"/>
      <c r="AA241" s="249"/>
      <c r="AB241" s="249"/>
      <c r="AC241" s="249"/>
      <c r="AD241" s="250"/>
    </row>
    <row r="242" spans="2:30" ht="13.05" customHeight="1">
      <c r="B242" s="331" t="s">
        <v>448</v>
      </c>
      <c r="C242" s="331"/>
      <c r="D242" s="331"/>
      <c r="E242" s="224" t="s">
        <v>447</v>
      </c>
      <c r="F242" s="224"/>
      <c r="G242" s="224"/>
      <c r="H242" s="224"/>
      <c r="I242" s="224"/>
      <c r="J242" s="224"/>
      <c r="K242" s="224"/>
      <c r="L242" s="225" t="s">
        <v>446</v>
      </c>
      <c r="M242" s="225"/>
      <c r="N242" s="204">
        <v>0</v>
      </c>
      <c r="O242" s="204"/>
      <c r="P242" s="204"/>
      <c r="Q242" s="204"/>
      <c r="R242" s="204">
        <v>0</v>
      </c>
      <c r="S242" s="204"/>
      <c r="T242" s="204"/>
      <c r="U242" s="204"/>
      <c r="V242" s="245"/>
      <c r="W242" s="246"/>
      <c r="X242" s="246"/>
      <c r="Y242" s="246"/>
      <c r="Z242" s="246"/>
      <c r="AA242" s="246"/>
      <c r="AB242" s="246"/>
      <c r="AC242" s="246"/>
      <c r="AD242" s="247"/>
    </row>
    <row r="243" spans="2:30" ht="13.05" customHeight="1">
      <c r="B243" s="331"/>
      <c r="C243" s="331"/>
      <c r="D243" s="331"/>
      <c r="E243" s="224"/>
      <c r="F243" s="224"/>
      <c r="G243" s="224"/>
      <c r="H243" s="224"/>
      <c r="I243" s="224"/>
      <c r="J243" s="224"/>
      <c r="K243" s="224"/>
      <c r="L243" s="225"/>
      <c r="M243" s="225"/>
      <c r="N243" s="204"/>
      <c r="O243" s="204"/>
      <c r="P243" s="204"/>
      <c r="Q243" s="204"/>
      <c r="R243" s="204"/>
      <c r="S243" s="204"/>
      <c r="T243" s="204"/>
      <c r="U243" s="204"/>
      <c r="V243" s="248"/>
      <c r="W243" s="249"/>
      <c r="X243" s="249"/>
      <c r="Y243" s="249"/>
      <c r="Z243" s="249"/>
      <c r="AA243" s="249"/>
      <c r="AB243" s="249"/>
      <c r="AC243" s="249"/>
      <c r="AD243" s="250"/>
    </row>
    <row r="244" spans="2:30" ht="13.05" customHeight="1">
      <c r="B244" s="331" t="s">
        <v>445</v>
      </c>
      <c r="C244" s="331"/>
      <c r="D244" s="331"/>
      <c r="E244" s="224" t="s">
        <v>444</v>
      </c>
      <c r="F244" s="224"/>
      <c r="G244" s="224"/>
      <c r="H244" s="224"/>
      <c r="I244" s="224"/>
      <c r="J244" s="224"/>
      <c r="K244" s="224"/>
      <c r="L244" s="225" t="s">
        <v>428</v>
      </c>
      <c r="M244" s="225"/>
      <c r="N244" s="204">
        <v>0</v>
      </c>
      <c r="O244" s="204"/>
      <c r="P244" s="204"/>
      <c r="Q244" s="204"/>
      <c r="R244" s="204">
        <v>0</v>
      </c>
      <c r="S244" s="204"/>
      <c r="T244" s="204"/>
      <c r="U244" s="204"/>
      <c r="V244" s="245"/>
      <c r="W244" s="246"/>
      <c r="X244" s="246"/>
      <c r="Y244" s="246"/>
      <c r="Z244" s="246"/>
      <c r="AA244" s="246"/>
      <c r="AB244" s="246"/>
      <c r="AC244" s="246"/>
      <c r="AD244" s="247"/>
    </row>
    <row r="245" spans="2:30" ht="13.05" customHeight="1">
      <c r="B245" s="331"/>
      <c r="C245" s="331"/>
      <c r="D245" s="331"/>
      <c r="E245" s="224"/>
      <c r="F245" s="224"/>
      <c r="G245" s="224"/>
      <c r="H245" s="224"/>
      <c r="I245" s="224"/>
      <c r="J245" s="224"/>
      <c r="K245" s="224"/>
      <c r="L245" s="225"/>
      <c r="M245" s="225"/>
      <c r="N245" s="204"/>
      <c r="O245" s="204"/>
      <c r="P245" s="204"/>
      <c r="Q245" s="204"/>
      <c r="R245" s="204"/>
      <c r="S245" s="204"/>
      <c r="T245" s="204"/>
      <c r="U245" s="204"/>
      <c r="V245" s="248"/>
      <c r="W245" s="249"/>
      <c r="X245" s="249"/>
      <c r="Y245" s="249"/>
      <c r="Z245" s="249"/>
      <c r="AA245" s="249"/>
      <c r="AB245" s="249"/>
      <c r="AC245" s="249"/>
      <c r="AD245" s="250"/>
    </row>
    <row r="246" spans="2:30" ht="13.05" customHeight="1">
      <c r="B246" s="331" t="s">
        <v>443</v>
      </c>
      <c r="C246" s="331"/>
      <c r="D246" s="331"/>
      <c r="E246" s="224" t="s">
        <v>442</v>
      </c>
      <c r="F246" s="224"/>
      <c r="G246" s="224"/>
      <c r="H246" s="224"/>
      <c r="I246" s="224"/>
      <c r="J246" s="224"/>
      <c r="K246" s="224"/>
      <c r="L246" s="225" t="s">
        <v>428</v>
      </c>
      <c r="M246" s="225"/>
      <c r="N246" s="204">
        <v>0</v>
      </c>
      <c r="O246" s="204"/>
      <c r="P246" s="204"/>
      <c r="Q246" s="204"/>
      <c r="R246" s="204">
        <v>0</v>
      </c>
      <c r="S246" s="204"/>
      <c r="T246" s="204"/>
      <c r="U246" s="204"/>
      <c r="V246" s="245"/>
      <c r="W246" s="246"/>
      <c r="X246" s="246"/>
      <c r="Y246" s="246"/>
      <c r="Z246" s="246"/>
      <c r="AA246" s="246"/>
      <c r="AB246" s="246"/>
      <c r="AC246" s="246"/>
      <c r="AD246" s="247"/>
    </row>
    <row r="247" spans="2:30" ht="13.05" customHeight="1">
      <c r="B247" s="331"/>
      <c r="C247" s="331"/>
      <c r="D247" s="331"/>
      <c r="E247" s="224"/>
      <c r="F247" s="224"/>
      <c r="G247" s="224"/>
      <c r="H247" s="224"/>
      <c r="I247" s="224"/>
      <c r="J247" s="224"/>
      <c r="K247" s="224"/>
      <c r="L247" s="225"/>
      <c r="M247" s="225"/>
      <c r="N247" s="204"/>
      <c r="O247" s="204"/>
      <c r="P247" s="204"/>
      <c r="Q247" s="204"/>
      <c r="R247" s="204"/>
      <c r="S247" s="204"/>
      <c r="T247" s="204"/>
      <c r="U247" s="204"/>
      <c r="V247" s="248"/>
      <c r="W247" s="249"/>
      <c r="X247" s="249"/>
      <c r="Y247" s="249"/>
      <c r="Z247" s="249"/>
      <c r="AA247" s="249"/>
      <c r="AB247" s="249"/>
      <c r="AC247" s="249"/>
      <c r="AD247" s="250"/>
    </row>
    <row r="248" spans="2:30" ht="13.2" customHeight="1">
      <c r="B248" s="331" t="s">
        <v>621</v>
      </c>
      <c r="C248" s="331"/>
      <c r="D248" s="331"/>
      <c r="E248" s="224" t="s">
        <v>441</v>
      </c>
      <c r="F248" s="224"/>
      <c r="G248" s="224"/>
      <c r="H248" s="224"/>
      <c r="I248" s="224"/>
      <c r="J248" s="224"/>
      <c r="K248" s="224"/>
      <c r="L248" s="225" t="s">
        <v>428</v>
      </c>
      <c r="M248" s="225"/>
      <c r="N248" s="204">
        <v>0</v>
      </c>
      <c r="O248" s="204"/>
      <c r="P248" s="204"/>
      <c r="Q248" s="204"/>
      <c r="R248" s="204">
        <v>0</v>
      </c>
      <c r="S248" s="204"/>
      <c r="T248" s="204"/>
      <c r="U248" s="204"/>
      <c r="V248" s="336"/>
      <c r="W248" s="337"/>
      <c r="X248" s="337"/>
      <c r="Y248" s="337"/>
      <c r="Z248" s="337"/>
      <c r="AA248" s="337"/>
      <c r="AB248" s="337"/>
      <c r="AC248" s="337"/>
      <c r="AD248" s="338"/>
    </row>
    <row r="249" spans="2:30" ht="13.05" customHeight="1">
      <c r="B249" s="331"/>
      <c r="C249" s="331"/>
      <c r="D249" s="331"/>
      <c r="E249" s="224"/>
      <c r="F249" s="224"/>
      <c r="G249" s="224"/>
      <c r="H249" s="224"/>
      <c r="I249" s="224"/>
      <c r="J249" s="224"/>
      <c r="K249" s="224"/>
      <c r="L249" s="225"/>
      <c r="M249" s="225"/>
      <c r="N249" s="204"/>
      <c r="O249" s="204"/>
      <c r="P249" s="204"/>
      <c r="Q249" s="204"/>
      <c r="R249" s="204"/>
      <c r="S249" s="204"/>
      <c r="T249" s="204"/>
      <c r="U249" s="204"/>
      <c r="V249" s="339"/>
      <c r="W249" s="340"/>
      <c r="X249" s="340"/>
      <c r="Y249" s="340"/>
      <c r="Z249" s="340"/>
      <c r="AA249" s="340"/>
      <c r="AB249" s="340"/>
      <c r="AC249" s="340"/>
      <c r="AD249" s="341"/>
    </row>
    <row r="250" spans="2:30" ht="13.05" customHeight="1">
      <c r="B250" s="331" t="s">
        <v>440</v>
      </c>
      <c r="C250" s="331"/>
      <c r="D250" s="331"/>
      <c r="E250" s="224" t="s">
        <v>439</v>
      </c>
      <c r="F250" s="224"/>
      <c r="G250" s="224"/>
      <c r="H250" s="224"/>
      <c r="I250" s="224"/>
      <c r="J250" s="224"/>
      <c r="K250" s="224"/>
      <c r="L250" s="225" t="s">
        <v>428</v>
      </c>
      <c r="M250" s="225"/>
      <c r="N250" s="204">
        <v>0</v>
      </c>
      <c r="O250" s="204"/>
      <c r="P250" s="204"/>
      <c r="Q250" s="204"/>
      <c r="R250" s="204">
        <v>0</v>
      </c>
      <c r="S250" s="204"/>
      <c r="T250" s="204"/>
      <c r="U250" s="204"/>
      <c r="V250" s="245"/>
      <c r="W250" s="246"/>
      <c r="X250" s="246"/>
      <c r="Y250" s="246"/>
      <c r="Z250" s="246"/>
      <c r="AA250" s="246"/>
      <c r="AB250" s="246"/>
      <c r="AC250" s="246"/>
      <c r="AD250" s="247"/>
    </row>
    <row r="251" spans="2:30" ht="13.05" customHeight="1">
      <c r="B251" s="331"/>
      <c r="C251" s="331"/>
      <c r="D251" s="331"/>
      <c r="E251" s="224"/>
      <c r="F251" s="224"/>
      <c r="G251" s="224"/>
      <c r="H251" s="224"/>
      <c r="I251" s="224"/>
      <c r="J251" s="224"/>
      <c r="K251" s="224"/>
      <c r="L251" s="225"/>
      <c r="M251" s="225"/>
      <c r="N251" s="204"/>
      <c r="O251" s="204"/>
      <c r="P251" s="204"/>
      <c r="Q251" s="204"/>
      <c r="R251" s="204"/>
      <c r="S251" s="204"/>
      <c r="T251" s="204"/>
      <c r="U251" s="204"/>
      <c r="V251" s="248"/>
      <c r="W251" s="249"/>
      <c r="X251" s="249"/>
      <c r="Y251" s="249"/>
      <c r="Z251" s="249"/>
      <c r="AA251" s="249"/>
      <c r="AB251" s="249"/>
      <c r="AC251" s="249"/>
      <c r="AD251" s="250"/>
    </row>
    <row r="252" spans="2:30" ht="13.05" customHeight="1">
      <c r="B252" s="331" t="s">
        <v>438</v>
      </c>
      <c r="C252" s="331"/>
      <c r="D252" s="331"/>
      <c r="E252" s="224" t="s">
        <v>437</v>
      </c>
      <c r="F252" s="224"/>
      <c r="G252" s="224"/>
      <c r="H252" s="224"/>
      <c r="I252" s="224"/>
      <c r="J252" s="224"/>
      <c r="K252" s="224"/>
      <c r="L252" s="225" t="s">
        <v>261</v>
      </c>
      <c r="M252" s="225"/>
      <c r="N252" s="204">
        <v>0</v>
      </c>
      <c r="O252" s="204"/>
      <c r="P252" s="204"/>
      <c r="Q252" s="204"/>
      <c r="R252" s="204">
        <v>0</v>
      </c>
      <c r="S252" s="204"/>
      <c r="T252" s="204"/>
      <c r="U252" s="204"/>
      <c r="V252" s="245"/>
      <c r="W252" s="246"/>
      <c r="X252" s="246"/>
      <c r="Y252" s="246"/>
      <c r="Z252" s="246"/>
      <c r="AA252" s="246"/>
      <c r="AB252" s="246"/>
      <c r="AC252" s="246"/>
      <c r="AD252" s="247"/>
    </row>
    <row r="253" spans="2:30" ht="13.05" customHeight="1">
      <c r="B253" s="331"/>
      <c r="C253" s="331"/>
      <c r="D253" s="331"/>
      <c r="E253" s="224"/>
      <c r="F253" s="224"/>
      <c r="G253" s="224"/>
      <c r="H253" s="224"/>
      <c r="I253" s="224"/>
      <c r="J253" s="224"/>
      <c r="K253" s="224"/>
      <c r="L253" s="225"/>
      <c r="M253" s="225"/>
      <c r="N253" s="204"/>
      <c r="O253" s="204"/>
      <c r="P253" s="204"/>
      <c r="Q253" s="204"/>
      <c r="R253" s="204"/>
      <c r="S253" s="204"/>
      <c r="T253" s="204"/>
      <c r="U253" s="204"/>
      <c r="V253" s="248"/>
      <c r="W253" s="249"/>
      <c r="X253" s="249"/>
      <c r="Y253" s="249"/>
      <c r="Z253" s="249"/>
      <c r="AA253" s="249"/>
      <c r="AB253" s="249"/>
      <c r="AC253" s="249"/>
      <c r="AD253" s="250"/>
    </row>
    <row r="254" spans="2:30" ht="13.05" customHeight="1">
      <c r="B254" s="331" t="s">
        <v>436</v>
      </c>
      <c r="C254" s="331"/>
      <c r="D254" s="331"/>
      <c r="E254" s="224" t="s">
        <v>435</v>
      </c>
      <c r="F254" s="224"/>
      <c r="G254" s="224"/>
      <c r="H254" s="224"/>
      <c r="I254" s="224"/>
      <c r="J254" s="224"/>
      <c r="K254" s="224"/>
      <c r="L254" s="225" t="s">
        <v>373</v>
      </c>
      <c r="M254" s="225"/>
      <c r="N254" s="204">
        <v>0</v>
      </c>
      <c r="O254" s="204"/>
      <c r="P254" s="204"/>
      <c r="Q254" s="204"/>
      <c r="R254" s="204">
        <v>0</v>
      </c>
      <c r="S254" s="204"/>
      <c r="T254" s="204"/>
      <c r="U254" s="204"/>
      <c r="V254" s="245"/>
      <c r="W254" s="246"/>
      <c r="X254" s="246"/>
      <c r="Y254" s="246"/>
      <c r="Z254" s="246"/>
      <c r="AA254" s="246"/>
      <c r="AB254" s="246"/>
      <c r="AC254" s="246"/>
      <c r="AD254" s="247"/>
    </row>
    <row r="255" spans="2:30" ht="13.05" customHeight="1">
      <c r="B255" s="331"/>
      <c r="C255" s="331"/>
      <c r="D255" s="331"/>
      <c r="E255" s="224"/>
      <c r="F255" s="224"/>
      <c r="G255" s="224"/>
      <c r="H255" s="224"/>
      <c r="I255" s="224"/>
      <c r="J255" s="224"/>
      <c r="K255" s="224"/>
      <c r="L255" s="225"/>
      <c r="M255" s="225"/>
      <c r="N255" s="204"/>
      <c r="O255" s="204"/>
      <c r="P255" s="204"/>
      <c r="Q255" s="204"/>
      <c r="R255" s="204"/>
      <c r="S255" s="204"/>
      <c r="T255" s="204"/>
      <c r="U255" s="204"/>
      <c r="V255" s="248"/>
      <c r="W255" s="249"/>
      <c r="X255" s="249"/>
      <c r="Y255" s="249"/>
      <c r="Z255" s="249"/>
      <c r="AA255" s="249"/>
      <c r="AB255" s="249"/>
      <c r="AC255" s="249"/>
      <c r="AD255" s="250"/>
    </row>
    <row r="256" spans="2:30" ht="13.05" customHeight="1">
      <c r="B256" s="342" t="s">
        <v>434</v>
      </c>
      <c r="C256" s="331"/>
      <c r="D256" s="331"/>
      <c r="E256" s="224" t="s">
        <v>433</v>
      </c>
      <c r="F256" s="224"/>
      <c r="G256" s="224"/>
      <c r="H256" s="224"/>
      <c r="I256" s="224"/>
      <c r="J256" s="224"/>
      <c r="K256" s="224"/>
      <c r="L256" s="225" t="s">
        <v>428</v>
      </c>
      <c r="M256" s="225"/>
      <c r="N256" s="204">
        <v>0</v>
      </c>
      <c r="O256" s="204"/>
      <c r="P256" s="204"/>
      <c r="Q256" s="204"/>
      <c r="R256" s="204">
        <v>0</v>
      </c>
      <c r="S256" s="204"/>
      <c r="T256" s="204"/>
      <c r="U256" s="204"/>
      <c r="V256" s="245"/>
      <c r="W256" s="246"/>
      <c r="X256" s="246"/>
      <c r="Y256" s="246"/>
      <c r="Z256" s="246"/>
      <c r="AA256" s="246"/>
      <c r="AB256" s="246"/>
      <c r="AC256" s="246"/>
      <c r="AD256" s="247"/>
    </row>
    <row r="257" spans="2:30" ht="13.05" customHeight="1">
      <c r="B257" s="331"/>
      <c r="C257" s="331"/>
      <c r="D257" s="331"/>
      <c r="E257" s="224"/>
      <c r="F257" s="224"/>
      <c r="G257" s="224"/>
      <c r="H257" s="224"/>
      <c r="I257" s="224"/>
      <c r="J257" s="224"/>
      <c r="K257" s="224"/>
      <c r="L257" s="225"/>
      <c r="M257" s="225"/>
      <c r="N257" s="204"/>
      <c r="O257" s="204"/>
      <c r="P257" s="204"/>
      <c r="Q257" s="204"/>
      <c r="R257" s="204"/>
      <c r="S257" s="204"/>
      <c r="T257" s="204"/>
      <c r="U257" s="204"/>
      <c r="V257" s="248"/>
      <c r="W257" s="249"/>
      <c r="X257" s="249"/>
      <c r="Y257" s="249"/>
      <c r="Z257" s="249"/>
      <c r="AA257" s="249"/>
      <c r="AB257" s="249"/>
      <c r="AC257" s="249"/>
      <c r="AD257" s="250"/>
    </row>
    <row r="258" spans="2:30" ht="13.05" customHeight="1">
      <c r="B258" s="342" t="s">
        <v>432</v>
      </c>
      <c r="C258" s="331"/>
      <c r="D258" s="331"/>
      <c r="E258" s="224" t="s">
        <v>431</v>
      </c>
      <c r="F258" s="224"/>
      <c r="G258" s="224"/>
      <c r="H258" s="224"/>
      <c r="I258" s="224"/>
      <c r="J258" s="224"/>
      <c r="K258" s="224"/>
      <c r="L258" s="225" t="s">
        <v>428</v>
      </c>
      <c r="M258" s="225"/>
      <c r="N258" s="204">
        <v>0</v>
      </c>
      <c r="O258" s="204"/>
      <c r="P258" s="204"/>
      <c r="Q258" s="204"/>
      <c r="R258" s="204">
        <v>0</v>
      </c>
      <c r="S258" s="204"/>
      <c r="T258" s="204"/>
      <c r="U258" s="204"/>
      <c r="V258" s="245"/>
      <c r="W258" s="246"/>
      <c r="X258" s="246"/>
      <c r="Y258" s="246"/>
      <c r="Z258" s="246"/>
      <c r="AA258" s="246"/>
      <c r="AB258" s="246"/>
      <c r="AC258" s="246"/>
      <c r="AD258" s="247"/>
    </row>
    <row r="259" spans="2:30" ht="13.05" customHeight="1">
      <c r="B259" s="331"/>
      <c r="C259" s="331"/>
      <c r="D259" s="331"/>
      <c r="E259" s="224"/>
      <c r="F259" s="224"/>
      <c r="G259" s="224"/>
      <c r="H259" s="224"/>
      <c r="I259" s="224"/>
      <c r="J259" s="224"/>
      <c r="K259" s="224"/>
      <c r="L259" s="225"/>
      <c r="M259" s="225"/>
      <c r="N259" s="204"/>
      <c r="O259" s="204"/>
      <c r="P259" s="204"/>
      <c r="Q259" s="204"/>
      <c r="R259" s="204"/>
      <c r="S259" s="204"/>
      <c r="T259" s="204"/>
      <c r="U259" s="204"/>
      <c r="V259" s="248"/>
      <c r="W259" s="249"/>
      <c r="X259" s="249"/>
      <c r="Y259" s="249"/>
      <c r="Z259" s="249"/>
      <c r="AA259" s="249"/>
      <c r="AB259" s="249"/>
      <c r="AC259" s="249"/>
      <c r="AD259" s="250"/>
    </row>
    <row r="260" spans="2:30" ht="13.05" customHeight="1">
      <c r="B260" s="335" t="s">
        <v>622</v>
      </c>
      <c r="C260" s="335"/>
      <c r="D260" s="335"/>
      <c r="E260" s="224" t="s">
        <v>430</v>
      </c>
      <c r="F260" s="224"/>
      <c r="G260" s="224"/>
      <c r="H260" s="224"/>
      <c r="I260" s="224"/>
      <c r="J260" s="224"/>
      <c r="K260" s="224"/>
      <c r="L260" s="225" t="s">
        <v>426</v>
      </c>
      <c r="M260" s="225"/>
      <c r="N260" s="204"/>
      <c r="O260" s="204"/>
      <c r="P260" s="204"/>
      <c r="Q260" s="204"/>
      <c r="R260" s="204"/>
      <c r="S260" s="204"/>
      <c r="T260" s="204"/>
      <c r="U260" s="204"/>
      <c r="V260" s="245"/>
      <c r="W260" s="246"/>
      <c r="X260" s="246"/>
      <c r="Y260" s="246"/>
      <c r="Z260" s="246"/>
      <c r="AA260" s="246"/>
      <c r="AB260" s="246"/>
      <c r="AC260" s="246"/>
      <c r="AD260" s="247"/>
    </row>
    <row r="261" spans="2:30" ht="13.05" customHeight="1">
      <c r="B261" s="335"/>
      <c r="C261" s="335"/>
      <c r="D261" s="335"/>
      <c r="E261" s="224"/>
      <c r="F261" s="224"/>
      <c r="G261" s="224"/>
      <c r="H261" s="224"/>
      <c r="I261" s="224"/>
      <c r="J261" s="224"/>
      <c r="K261" s="224"/>
      <c r="L261" s="225"/>
      <c r="M261" s="225"/>
      <c r="N261" s="204"/>
      <c r="O261" s="204"/>
      <c r="P261" s="204"/>
      <c r="Q261" s="204"/>
      <c r="R261" s="204"/>
      <c r="S261" s="204"/>
      <c r="T261" s="204"/>
      <c r="U261" s="204"/>
      <c r="V261" s="248"/>
      <c r="W261" s="249"/>
      <c r="X261" s="249"/>
      <c r="Y261" s="249"/>
      <c r="Z261" s="249"/>
      <c r="AA261" s="249"/>
      <c r="AB261" s="249"/>
      <c r="AC261" s="249"/>
      <c r="AD261" s="250"/>
    </row>
    <row r="262" spans="2:30" ht="13.05" customHeight="1">
      <c r="B262" s="335" t="s">
        <v>623</v>
      </c>
      <c r="C262" s="335"/>
      <c r="D262" s="335"/>
      <c r="E262" s="224" t="s">
        <v>429</v>
      </c>
      <c r="F262" s="224"/>
      <c r="G262" s="224"/>
      <c r="H262" s="224"/>
      <c r="I262" s="224"/>
      <c r="J262" s="224"/>
      <c r="K262" s="224"/>
      <c r="L262" s="225" t="s">
        <v>428</v>
      </c>
      <c r="M262" s="225"/>
      <c r="N262" s="204"/>
      <c r="O262" s="204"/>
      <c r="P262" s="204"/>
      <c r="Q262" s="204"/>
      <c r="R262" s="204"/>
      <c r="S262" s="204"/>
      <c r="T262" s="204"/>
      <c r="U262" s="204"/>
      <c r="V262" s="245"/>
      <c r="W262" s="246"/>
      <c r="X262" s="246"/>
      <c r="Y262" s="246"/>
      <c r="Z262" s="246"/>
      <c r="AA262" s="246"/>
      <c r="AB262" s="246"/>
      <c r="AC262" s="246"/>
      <c r="AD262" s="247"/>
    </row>
    <row r="263" spans="2:30" ht="13.05" customHeight="1">
      <c r="B263" s="335"/>
      <c r="C263" s="335"/>
      <c r="D263" s="335"/>
      <c r="E263" s="224"/>
      <c r="F263" s="224"/>
      <c r="G263" s="224"/>
      <c r="H263" s="224"/>
      <c r="I263" s="224"/>
      <c r="J263" s="224"/>
      <c r="K263" s="224"/>
      <c r="L263" s="225"/>
      <c r="M263" s="225"/>
      <c r="N263" s="204"/>
      <c r="O263" s="204"/>
      <c r="P263" s="204"/>
      <c r="Q263" s="204"/>
      <c r="R263" s="204"/>
      <c r="S263" s="204"/>
      <c r="T263" s="204"/>
      <c r="U263" s="204"/>
      <c r="V263" s="248"/>
      <c r="W263" s="249"/>
      <c r="X263" s="249"/>
      <c r="Y263" s="249"/>
      <c r="Z263" s="249"/>
      <c r="AA263" s="249"/>
      <c r="AB263" s="249"/>
      <c r="AC263" s="249"/>
      <c r="AD263" s="250"/>
    </row>
    <row r="264" spans="2:30" ht="13.05" customHeight="1">
      <c r="B264" s="335" t="s">
        <v>624</v>
      </c>
      <c r="C264" s="335"/>
      <c r="D264" s="335"/>
      <c r="E264" s="224" t="s">
        <v>427</v>
      </c>
      <c r="F264" s="224"/>
      <c r="G264" s="224"/>
      <c r="H264" s="224"/>
      <c r="I264" s="224"/>
      <c r="J264" s="224"/>
      <c r="K264" s="224"/>
      <c r="L264" s="225" t="s">
        <v>426</v>
      </c>
      <c r="M264" s="225"/>
      <c r="N264" s="204"/>
      <c r="O264" s="204"/>
      <c r="P264" s="204"/>
      <c r="Q264" s="204"/>
      <c r="R264" s="204"/>
      <c r="S264" s="204"/>
      <c r="T264" s="204"/>
      <c r="U264" s="204"/>
      <c r="V264" s="245"/>
      <c r="W264" s="246"/>
      <c r="X264" s="246"/>
      <c r="Y264" s="246"/>
      <c r="Z264" s="246"/>
      <c r="AA264" s="246"/>
      <c r="AB264" s="246"/>
      <c r="AC264" s="246"/>
      <c r="AD264" s="247"/>
    </row>
    <row r="265" spans="2:30" ht="13.05" customHeight="1">
      <c r="B265" s="335"/>
      <c r="C265" s="335"/>
      <c r="D265" s="335"/>
      <c r="E265" s="224"/>
      <c r="F265" s="224"/>
      <c r="G265" s="224"/>
      <c r="H265" s="224"/>
      <c r="I265" s="224"/>
      <c r="J265" s="224"/>
      <c r="K265" s="224"/>
      <c r="L265" s="225"/>
      <c r="M265" s="225"/>
      <c r="N265" s="204"/>
      <c r="O265" s="204"/>
      <c r="P265" s="204"/>
      <c r="Q265" s="204"/>
      <c r="R265" s="204"/>
      <c r="S265" s="204"/>
      <c r="T265" s="204"/>
      <c r="U265" s="204"/>
      <c r="V265" s="248"/>
      <c r="W265" s="249"/>
      <c r="X265" s="249"/>
      <c r="Y265" s="249"/>
      <c r="Z265" s="249"/>
      <c r="AA265" s="249"/>
      <c r="AB265" s="249"/>
      <c r="AC265" s="249"/>
      <c r="AD265" s="250"/>
    </row>
    <row r="266" spans="2:30" ht="13.05" customHeight="1">
      <c r="B266" s="343" t="s">
        <v>625</v>
      </c>
      <c r="C266" s="335"/>
      <c r="D266" s="335"/>
      <c r="E266" s="224" t="s">
        <v>626</v>
      </c>
      <c r="F266" s="224"/>
      <c r="G266" s="224"/>
      <c r="H266" s="224"/>
      <c r="I266" s="224"/>
      <c r="J266" s="224"/>
      <c r="K266" s="224"/>
      <c r="L266" s="225" t="s">
        <v>428</v>
      </c>
      <c r="M266" s="225"/>
      <c r="N266" s="204"/>
      <c r="O266" s="204"/>
      <c r="P266" s="204"/>
      <c r="Q266" s="204"/>
      <c r="R266" s="204"/>
      <c r="S266" s="204"/>
      <c r="T266" s="204"/>
      <c r="U266" s="204"/>
      <c r="V266" s="245"/>
      <c r="W266" s="246"/>
      <c r="X266" s="246"/>
      <c r="Y266" s="246"/>
      <c r="Z266" s="246"/>
      <c r="AA266" s="246"/>
      <c r="AB266" s="246"/>
      <c r="AC266" s="246"/>
      <c r="AD266" s="247"/>
    </row>
    <row r="267" spans="2:30" ht="13.05" customHeight="1">
      <c r="B267" s="335"/>
      <c r="C267" s="335"/>
      <c r="D267" s="335"/>
      <c r="E267" s="224"/>
      <c r="F267" s="224"/>
      <c r="G267" s="224"/>
      <c r="H267" s="224"/>
      <c r="I267" s="224"/>
      <c r="J267" s="224"/>
      <c r="K267" s="224"/>
      <c r="L267" s="225"/>
      <c r="M267" s="225"/>
      <c r="N267" s="204"/>
      <c r="O267" s="204"/>
      <c r="P267" s="204"/>
      <c r="Q267" s="204"/>
      <c r="R267" s="204"/>
      <c r="S267" s="204"/>
      <c r="T267" s="204"/>
      <c r="U267" s="204"/>
      <c r="V267" s="248"/>
      <c r="W267" s="249"/>
      <c r="X267" s="249"/>
      <c r="Y267" s="249"/>
      <c r="Z267" s="249"/>
      <c r="AA267" s="249"/>
      <c r="AB267" s="249"/>
      <c r="AC267" s="249"/>
      <c r="AD267" s="250"/>
    </row>
    <row r="268" spans="2:30">
      <c r="B268" s="331"/>
      <c r="C268" s="331"/>
      <c r="D268" s="331"/>
      <c r="E268" s="224"/>
      <c r="F268" s="224"/>
      <c r="G268" s="224"/>
      <c r="H268" s="224"/>
      <c r="I268" s="224"/>
      <c r="J268" s="224"/>
      <c r="K268" s="224"/>
      <c r="L268" s="225"/>
      <c r="M268" s="225"/>
      <c r="N268" s="204"/>
      <c r="O268" s="204"/>
      <c r="P268" s="204"/>
      <c r="Q268" s="204"/>
      <c r="R268" s="204"/>
      <c r="S268" s="204"/>
      <c r="T268" s="204"/>
      <c r="U268" s="204"/>
      <c r="V268" s="245"/>
      <c r="W268" s="246"/>
      <c r="X268" s="246"/>
      <c r="Y268" s="246"/>
      <c r="Z268" s="246"/>
      <c r="AA268" s="246"/>
      <c r="AB268" s="246"/>
      <c r="AC268" s="246"/>
      <c r="AD268" s="247"/>
    </row>
    <row r="269" spans="2:30">
      <c r="B269" s="331"/>
      <c r="C269" s="331"/>
      <c r="D269" s="331"/>
      <c r="E269" s="224"/>
      <c r="F269" s="224"/>
      <c r="G269" s="224"/>
      <c r="H269" s="224"/>
      <c r="I269" s="224"/>
      <c r="J269" s="224"/>
      <c r="K269" s="224"/>
      <c r="L269" s="225"/>
      <c r="M269" s="225"/>
      <c r="N269" s="204"/>
      <c r="O269" s="204"/>
      <c r="P269" s="204"/>
      <c r="Q269" s="204"/>
      <c r="R269" s="204"/>
      <c r="S269" s="204"/>
      <c r="T269" s="204"/>
      <c r="U269" s="204"/>
      <c r="V269" s="248"/>
      <c r="W269" s="249"/>
      <c r="X269" s="249"/>
      <c r="Y269" s="249"/>
      <c r="Z269" s="249"/>
      <c r="AA269" s="249"/>
      <c r="AB269" s="249"/>
      <c r="AC269" s="249"/>
      <c r="AD269" s="250"/>
    </row>
    <row r="270" spans="2:30" ht="13.05" customHeight="1">
      <c r="B270" s="335" t="s">
        <v>627</v>
      </c>
      <c r="C270" s="335"/>
      <c r="D270" s="335"/>
      <c r="E270" s="344" t="s">
        <v>628</v>
      </c>
      <c r="F270" s="344"/>
      <c r="G270" s="344"/>
      <c r="H270" s="344"/>
      <c r="I270" s="344"/>
      <c r="J270" s="344"/>
      <c r="K270" s="344"/>
      <c r="L270" s="225" t="s">
        <v>446</v>
      </c>
      <c r="M270" s="225"/>
      <c r="N270" s="204">
        <v>0</v>
      </c>
      <c r="O270" s="204"/>
      <c r="P270" s="204"/>
      <c r="Q270" s="204"/>
      <c r="R270" s="204">
        <v>0</v>
      </c>
      <c r="S270" s="204"/>
      <c r="T270" s="204"/>
      <c r="U270" s="204"/>
      <c r="V270" s="245"/>
      <c r="W270" s="246"/>
      <c r="X270" s="246"/>
      <c r="Y270" s="246"/>
      <c r="Z270" s="246"/>
      <c r="AA270" s="246"/>
      <c r="AB270" s="246"/>
      <c r="AC270" s="246"/>
      <c r="AD270" s="247"/>
    </row>
    <row r="271" spans="2:30" ht="13.05" customHeight="1">
      <c r="B271" s="335"/>
      <c r="C271" s="335"/>
      <c r="D271" s="335"/>
      <c r="E271" s="344"/>
      <c r="F271" s="344"/>
      <c r="G271" s="344"/>
      <c r="H271" s="344"/>
      <c r="I271" s="344"/>
      <c r="J271" s="344"/>
      <c r="K271" s="344"/>
      <c r="L271" s="225"/>
      <c r="M271" s="225"/>
      <c r="N271" s="204"/>
      <c r="O271" s="204"/>
      <c r="P271" s="204"/>
      <c r="Q271" s="204"/>
      <c r="R271" s="204"/>
      <c r="S271" s="204"/>
      <c r="T271" s="204"/>
      <c r="U271" s="204"/>
      <c r="V271" s="248"/>
      <c r="W271" s="249"/>
      <c r="X271" s="249"/>
      <c r="Y271" s="249"/>
      <c r="Z271" s="249"/>
      <c r="AA271" s="249"/>
      <c r="AB271" s="249"/>
      <c r="AC271" s="249"/>
      <c r="AD271" s="250"/>
    </row>
    <row r="272" spans="2:30" ht="13.05" customHeight="1">
      <c r="B272" s="331"/>
      <c r="C272" s="331"/>
      <c r="D272" s="331"/>
      <c r="E272" s="224"/>
      <c r="F272" s="224"/>
      <c r="G272" s="224"/>
      <c r="H272" s="224"/>
      <c r="I272" s="224"/>
      <c r="J272" s="224"/>
      <c r="K272" s="224"/>
      <c r="L272" s="225"/>
      <c r="M272" s="225"/>
      <c r="N272" s="204"/>
      <c r="O272" s="204"/>
      <c r="P272" s="204"/>
      <c r="Q272" s="204"/>
      <c r="R272" s="204"/>
      <c r="S272" s="204"/>
      <c r="T272" s="204"/>
      <c r="U272" s="204"/>
      <c r="V272" s="245"/>
      <c r="W272" s="246"/>
      <c r="X272" s="246"/>
      <c r="Y272" s="246"/>
      <c r="Z272" s="246"/>
      <c r="AA272" s="246"/>
      <c r="AB272" s="246"/>
      <c r="AC272" s="246"/>
      <c r="AD272" s="247"/>
    </row>
    <row r="273" spans="2:30" ht="13.05" customHeight="1">
      <c r="B273" s="331"/>
      <c r="C273" s="331"/>
      <c r="D273" s="331"/>
      <c r="E273" s="224"/>
      <c r="F273" s="224"/>
      <c r="G273" s="224"/>
      <c r="H273" s="224"/>
      <c r="I273" s="224"/>
      <c r="J273" s="224"/>
      <c r="K273" s="224"/>
      <c r="L273" s="225"/>
      <c r="M273" s="225"/>
      <c r="N273" s="204"/>
      <c r="O273" s="204"/>
      <c r="P273" s="204"/>
      <c r="Q273" s="204"/>
      <c r="R273" s="204"/>
      <c r="S273" s="204"/>
      <c r="T273" s="204"/>
      <c r="U273" s="204"/>
      <c r="V273" s="248"/>
      <c r="W273" s="249"/>
      <c r="X273" s="249"/>
      <c r="Y273" s="249"/>
      <c r="Z273" s="249"/>
      <c r="AA273" s="249"/>
      <c r="AB273" s="249"/>
      <c r="AC273" s="249"/>
      <c r="AD273" s="250"/>
    </row>
    <row r="274" spans="2:30" ht="13.05" customHeight="1">
      <c r="B274" s="331"/>
      <c r="C274" s="331"/>
      <c r="D274" s="331"/>
      <c r="E274" s="224" t="s">
        <v>278</v>
      </c>
      <c r="F274" s="224"/>
      <c r="G274" s="224"/>
      <c r="H274" s="224"/>
      <c r="I274" s="224"/>
      <c r="J274" s="224"/>
      <c r="K274" s="224"/>
      <c r="L274" s="225"/>
      <c r="M274" s="225"/>
      <c r="N274" s="204"/>
      <c r="O274" s="204"/>
      <c r="P274" s="204"/>
      <c r="Q274" s="204"/>
      <c r="R274" s="204"/>
      <c r="S274" s="204"/>
      <c r="T274" s="204"/>
      <c r="U274" s="204"/>
      <c r="V274" s="245"/>
      <c r="W274" s="246"/>
      <c r="X274" s="246"/>
      <c r="Y274" s="246"/>
      <c r="Z274" s="246"/>
      <c r="AA274" s="246"/>
      <c r="AB274" s="246"/>
      <c r="AC274" s="246"/>
      <c r="AD274" s="247"/>
    </row>
    <row r="275" spans="2:30" ht="13.05" customHeight="1">
      <c r="B275" s="331"/>
      <c r="C275" s="331"/>
      <c r="D275" s="331"/>
      <c r="E275" s="224"/>
      <c r="F275" s="224"/>
      <c r="G275" s="224"/>
      <c r="H275" s="224"/>
      <c r="I275" s="224"/>
      <c r="J275" s="224"/>
      <c r="K275" s="224"/>
      <c r="L275" s="225"/>
      <c r="M275" s="225"/>
      <c r="N275" s="204"/>
      <c r="O275" s="204"/>
      <c r="P275" s="204"/>
      <c r="Q275" s="204"/>
      <c r="R275" s="204"/>
      <c r="S275" s="204"/>
      <c r="T275" s="204"/>
      <c r="U275" s="204"/>
      <c r="V275" s="248"/>
      <c r="W275" s="249"/>
      <c r="X275" s="249"/>
      <c r="Y275" s="249"/>
      <c r="Z275" s="249"/>
      <c r="AA275" s="249"/>
      <c r="AB275" s="249"/>
      <c r="AC275" s="249"/>
      <c r="AD275" s="250"/>
    </row>
    <row r="276" spans="2:30" ht="13.05" customHeight="1">
      <c r="B276" s="331" t="s">
        <v>425</v>
      </c>
      <c r="C276" s="331"/>
      <c r="D276" s="331"/>
      <c r="E276" s="224" t="s">
        <v>424</v>
      </c>
      <c r="F276" s="224"/>
      <c r="G276" s="224"/>
      <c r="H276" s="224"/>
      <c r="I276" s="224"/>
      <c r="J276" s="224"/>
      <c r="K276" s="224"/>
      <c r="L276" s="227" t="s">
        <v>428</v>
      </c>
      <c r="M276" s="229"/>
      <c r="N276" s="204"/>
      <c r="O276" s="204"/>
      <c r="P276" s="204"/>
      <c r="Q276" s="204"/>
      <c r="R276" s="204"/>
      <c r="S276" s="204"/>
      <c r="T276" s="204"/>
      <c r="U276" s="204"/>
      <c r="V276" s="245"/>
      <c r="W276" s="246"/>
      <c r="X276" s="246"/>
      <c r="Y276" s="246"/>
      <c r="Z276" s="246"/>
      <c r="AA276" s="246"/>
      <c r="AB276" s="246"/>
      <c r="AC276" s="246"/>
      <c r="AD276" s="247"/>
    </row>
    <row r="277" spans="2:30" ht="13.05" customHeight="1">
      <c r="B277" s="331"/>
      <c r="C277" s="331"/>
      <c r="D277" s="331"/>
      <c r="E277" s="224"/>
      <c r="F277" s="224"/>
      <c r="G277" s="224"/>
      <c r="H277" s="224"/>
      <c r="I277" s="224"/>
      <c r="J277" s="224"/>
      <c r="K277" s="224"/>
      <c r="L277" s="230"/>
      <c r="M277" s="232"/>
      <c r="N277" s="204"/>
      <c r="O277" s="204"/>
      <c r="P277" s="204"/>
      <c r="Q277" s="204"/>
      <c r="R277" s="204"/>
      <c r="S277" s="204"/>
      <c r="T277" s="204"/>
      <c r="U277" s="204"/>
      <c r="V277" s="248"/>
      <c r="W277" s="249"/>
      <c r="X277" s="249"/>
      <c r="Y277" s="249"/>
      <c r="Z277" s="249"/>
      <c r="AA277" s="249"/>
      <c r="AB277" s="249"/>
      <c r="AC277" s="249"/>
      <c r="AD277" s="250"/>
    </row>
    <row r="278" spans="2:30">
      <c r="B278" s="345" t="s">
        <v>423</v>
      </c>
      <c r="C278" s="346"/>
      <c r="D278" s="347"/>
      <c r="E278" s="245" t="s">
        <v>422</v>
      </c>
      <c r="F278" s="246"/>
      <c r="G278" s="246"/>
      <c r="H278" s="246"/>
      <c r="I278" s="246"/>
      <c r="J278" s="246"/>
      <c r="K278" s="247"/>
      <c r="L278" s="227" t="s">
        <v>428</v>
      </c>
      <c r="M278" s="229"/>
      <c r="N278" s="204"/>
      <c r="O278" s="204"/>
      <c r="P278" s="204"/>
      <c r="Q278" s="204"/>
      <c r="R278" s="204"/>
      <c r="S278" s="204"/>
      <c r="T278" s="204"/>
      <c r="U278" s="204"/>
      <c r="V278" s="245"/>
      <c r="W278" s="246"/>
      <c r="X278" s="246"/>
      <c r="Y278" s="246"/>
      <c r="Z278" s="246"/>
      <c r="AA278" s="246"/>
      <c r="AB278" s="246"/>
      <c r="AC278" s="246"/>
      <c r="AD278" s="247"/>
    </row>
    <row r="279" spans="2:30">
      <c r="B279" s="348"/>
      <c r="C279" s="349"/>
      <c r="D279" s="350"/>
      <c r="E279" s="248"/>
      <c r="F279" s="249"/>
      <c r="G279" s="249"/>
      <c r="H279" s="249"/>
      <c r="I279" s="249"/>
      <c r="J279" s="249"/>
      <c r="K279" s="250"/>
      <c r="L279" s="230"/>
      <c r="M279" s="232"/>
      <c r="N279" s="204"/>
      <c r="O279" s="204"/>
      <c r="P279" s="204"/>
      <c r="Q279" s="204"/>
      <c r="R279" s="204"/>
      <c r="S279" s="204"/>
      <c r="T279" s="204"/>
      <c r="U279" s="204"/>
      <c r="V279" s="248"/>
      <c r="W279" s="249"/>
      <c r="X279" s="249"/>
      <c r="Y279" s="249"/>
      <c r="Z279" s="249"/>
      <c r="AA279" s="249"/>
      <c r="AB279" s="249"/>
      <c r="AC279" s="249"/>
      <c r="AD279" s="250"/>
    </row>
    <row r="280" spans="2:30" ht="13.05" customHeight="1">
      <c r="B280" s="351" t="s">
        <v>629</v>
      </c>
      <c r="C280" s="352"/>
      <c r="D280" s="353"/>
      <c r="E280" s="357" t="s">
        <v>630</v>
      </c>
      <c r="F280" s="358"/>
      <c r="G280" s="358"/>
      <c r="H280" s="358"/>
      <c r="I280" s="358"/>
      <c r="J280" s="358"/>
      <c r="K280" s="359"/>
      <c r="L280" s="227" t="s">
        <v>428</v>
      </c>
      <c r="M280" s="229"/>
      <c r="N280" s="204"/>
      <c r="O280" s="204"/>
      <c r="P280" s="204"/>
      <c r="Q280" s="204"/>
      <c r="R280" s="204"/>
      <c r="S280" s="204"/>
      <c r="T280" s="204"/>
      <c r="U280" s="204"/>
      <c r="V280" s="245"/>
      <c r="W280" s="246"/>
      <c r="X280" s="246"/>
      <c r="Y280" s="246"/>
      <c r="Z280" s="246"/>
      <c r="AA280" s="246"/>
      <c r="AB280" s="246"/>
      <c r="AC280" s="246"/>
      <c r="AD280" s="247"/>
    </row>
    <row r="281" spans="2:30" ht="13.05" customHeight="1">
      <c r="B281" s="354"/>
      <c r="C281" s="355"/>
      <c r="D281" s="356"/>
      <c r="E281" s="360"/>
      <c r="F281" s="361"/>
      <c r="G281" s="361"/>
      <c r="H281" s="361"/>
      <c r="I281" s="361"/>
      <c r="J281" s="361"/>
      <c r="K281" s="362"/>
      <c r="L281" s="230"/>
      <c r="M281" s="232"/>
      <c r="N281" s="204"/>
      <c r="O281" s="204"/>
      <c r="P281" s="204"/>
      <c r="Q281" s="204"/>
      <c r="R281" s="204"/>
      <c r="S281" s="204"/>
      <c r="T281" s="204"/>
      <c r="U281" s="204"/>
      <c r="V281" s="248"/>
      <c r="W281" s="249"/>
      <c r="X281" s="249"/>
      <c r="Y281" s="249"/>
      <c r="Z281" s="249"/>
      <c r="AA281" s="249"/>
      <c r="AB281" s="249"/>
      <c r="AC281" s="249"/>
      <c r="AD281" s="250"/>
    </row>
    <row r="282" spans="2:30" ht="13.05" customHeight="1">
      <c r="B282" s="345" t="s">
        <v>631</v>
      </c>
      <c r="C282" s="346"/>
      <c r="D282" s="347"/>
      <c r="E282" s="245" t="s">
        <v>632</v>
      </c>
      <c r="F282" s="246"/>
      <c r="G282" s="246"/>
      <c r="H282" s="246"/>
      <c r="I282" s="246"/>
      <c r="J282" s="246"/>
      <c r="K282" s="247"/>
      <c r="L282" s="227" t="s">
        <v>428</v>
      </c>
      <c r="M282" s="229"/>
      <c r="N282" s="204"/>
      <c r="O282" s="204"/>
      <c r="P282" s="204"/>
      <c r="Q282" s="204"/>
      <c r="R282" s="204"/>
      <c r="S282" s="204"/>
      <c r="T282" s="204"/>
      <c r="U282" s="204"/>
      <c r="V282" s="245"/>
      <c r="W282" s="246"/>
      <c r="X282" s="246"/>
      <c r="Y282" s="246"/>
      <c r="Z282" s="246"/>
      <c r="AA282" s="246"/>
      <c r="AB282" s="246"/>
      <c r="AC282" s="246"/>
      <c r="AD282" s="247"/>
    </row>
    <row r="283" spans="2:30" ht="13.05" customHeight="1">
      <c r="B283" s="348"/>
      <c r="C283" s="349"/>
      <c r="D283" s="350"/>
      <c r="E283" s="248"/>
      <c r="F283" s="249"/>
      <c r="G283" s="249"/>
      <c r="H283" s="249"/>
      <c r="I283" s="249"/>
      <c r="J283" s="249"/>
      <c r="K283" s="250"/>
      <c r="L283" s="230"/>
      <c r="M283" s="232"/>
      <c r="N283" s="204"/>
      <c r="O283" s="204"/>
      <c r="P283" s="204"/>
      <c r="Q283" s="204"/>
      <c r="R283" s="204"/>
      <c r="S283" s="204"/>
      <c r="T283" s="204"/>
      <c r="U283" s="204"/>
      <c r="V283" s="248"/>
      <c r="W283" s="249"/>
      <c r="X283" s="249"/>
      <c r="Y283" s="249"/>
      <c r="Z283" s="249"/>
      <c r="AA283" s="249"/>
      <c r="AB283" s="249"/>
      <c r="AC283" s="249"/>
      <c r="AD283" s="250"/>
    </row>
    <row r="284" spans="2:30" ht="13.05" customHeight="1">
      <c r="B284" s="331" t="s">
        <v>633</v>
      </c>
      <c r="C284" s="331"/>
      <c r="D284" s="331"/>
      <c r="E284" s="224" t="s">
        <v>634</v>
      </c>
      <c r="F284" s="224"/>
      <c r="G284" s="224"/>
      <c r="H284" s="224"/>
      <c r="I284" s="224"/>
      <c r="J284" s="224"/>
      <c r="K284" s="224"/>
      <c r="L284" s="225" t="s">
        <v>428</v>
      </c>
      <c r="M284" s="225"/>
      <c r="N284" s="204"/>
      <c r="O284" s="204"/>
      <c r="P284" s="204"/>
      <c r="Q284" s="204"/>
      <c r="R284" s="204"/>
      <c r="S284" s="204"/>
      <c r="T284" s="204"/>
      <c r="U284" s="204"/>
      <c r="V284" s="245"/>
      <c r="W284" s="246"/>
      <c r="X284" s="246"/>
      <c r="Y284" s="246"/>
      <c r="Z284" s="246"/>
      <c r="AA284" s="246"/>
      <c r="AB284" s="246"/>
      <c r="AC284" s="246"/>
      <c r="AD284" s="247"/>
    </row>
    <row r="285" spans="2:30" ht="13.05" customHeight="1">
      <c r="B285" s="331"/>
      <c r="C285" s="331"/>
      <c r="D285" s="331"/>
      <c r="E285" s="224"/>
      <c r="F285" s="224"/>
      <c r="G285" s="224"/>
      <c r="H285" s="224"/>
      <c r="I285" s="224"/>
      <c r="J285" s="224"/>
      <c r="K285" s="224"/>
      <c r="L285" s="225"/>
      <c r="M285" s="225"/>
      <c r="N285" s="204"/>
      <c r="O285" s="204"/>
      <c r="P285" s="204"/>
      <c r="Q285" s="204"/>
      <c r="R285" s="204"/>
      <c r="S285" s="204"/>
      <c r="T285" s="204"/>
      <c r="U285" s="204"/>
      <c r="V285" s="248"/>
      <c r="W285" s="249"/>
      <c r="X285" s="249"/>
      <c r="Y285" s="249"/>
      <c r="Z285" s="249"/>
      <c r="AA285" s="249"/>
      <c r="AB285" s="249"/>
      <c r="AC285" s="249"/>
      <c r="AD285" s="250"/>
    </row>
    <row r="286" spans="2:30" ht="13.05" customHeight="1">
      <c r="B286" s="331"/>
      <c r="C286" s="331"/>
      <c r="D286" s="331"/>
      <c r="E286" s="224"/>
      <c r="F286" s="224"/>
      <c r="G286" s="224"/>
      <c r="H286" s="224"/>
      <c r="I286" s="224"/>
      <c r="J286" s="224"/>
      <c r="K286" s="224"/>
      <c r="L286" s="225"/>
      <c r="M286" s="225"/>
      <c r="N286" s="204"/>
      <c r="O286" s="204"/>
      <c r="P286" s="204"/>
      <c r="Q286" s="204"/>
      <c r="R286" s="204"/>
      <c r="S286" s="204"/>
      <c r="T286" s="204"/>
      <c r="U286" s="204"/>
      <c r="V286" s="245"/>
      <c r="W286" s="246"/>
      <c r="X286" s="246"/>
      <c r="Y286" s="246"/>
      <c r="Z286" s="246"/>
      <c r="AA286" s="246"/>
      <c r="AB286" s="246"/>
      <c r="AC286" s="246"/>
      <c r="AD286" s="247"/>
    </row>
    <row r="287" spans="2:30" ht="13.05" customHeight="1">
      <c r="B287" s="331"/>
      <c r="C287" s="331"/>
      <c r="D287" s="331"/>
      <c r="E287" s="224"/>
      <c r="F287" s="224"/>
      <c r="G287" s="224"/>
      <c r="H287" s="224"/>
      <c r="I287" s="224"/>
      <c r="J287" s="224"/>
      <c r="K287" s="224"/>
      <c r="L287" s="225"/>
      <c r="M287" s="225"/>
      <c r="N287" s="204"/>
      <c r="O287" s="204"/>
      <c r="P287" s="204"/>
      <c r="Q287" s="204"/>
      <c r="R287" s="204"/>
      <c r="S287" s="204"/>
      <c r="T287" s="204"/>
      <c r="U287" s="204"/>
      <c r="V287" s="248"/>
      <c r="W287" s="249"/>
      <c r="X287" s="249"/>
      <c r="Y287" s="249"/>
      <c r="Z287" s="249"/>
      <c r="AA287" s="249"/>
      <c r="AB287" s="249"/>
      <c r="AC287" s="249"/>
      <c r="AD287" s="250"/>
    </row>
    <row r="288" spans="2:30">
      <c r="C288" s="22" t="str">
        <f>C71</f>
        <v>(様式-販売-１)Rev.2025.05.20</v>
      </c>
      <c r="Y288" s="285" t="s">
        <v>418</v>
      </c>
      <c r="Z288" s="285"/>
      <c r="AA288" s="285"/>
      <c r="AB288" s="285"/>
      <c r="AC288" s="285"/>
      <c r="AD288" s="285"/>
    </row>
    <row r="289" spans="2:30">
      <c r="B289" s="22" t="s">
        <v>417</v>
      </c>
      <c r="Y289" s="286"/>
      <c r="Z289" s="286"/>
      <c r="AA289" s="286"/>
      <c r="AB289" s="286"/>
      <c r="AC289" s="286"/>
      <c r="AD289" s="286"/>
    </row>
    <row r="291" spans="2:30" ht="19.8" thickBot="1">
      <c r="D291" s="287">
        <v>284</v>
      </c>
      <c r="E291" s="287"/>
      <c r="F291" s="363" t="s">
        <v>421</v>
      </c>
      <c r="G291" s="363"/>
      <c r="H291" s="363"/>
      <c r="I291" s="363"/>
      <c r="J291" s="363"/>
      <c r="K291" s="363"/>
      <c r="L291" s="363"/>
      <c r="M291" s="363"/>
      <c r="N291" s="363"/>
      <c r="O291" s="363"/>
      <c r="P291" s="363"/>
      <c r="Q291" s="363"/>
      <c r="R291" s="363"/>
      <c r="S291" s="363"/>
      <c r="T291" s="363"/>
      <c r="U291" s="363"/>
      <c r="V291" s="363"/>
      <c r="W291" s="363"/>
      <c r="X291" s="363"/>
      <c r="Y291" s="363"/>
      <c r="Z291" s="363"/>
      <c r="AA291" s="363"/>
      <c r="AB291" s="363"/>
      <c r="AC291" s="364"/>
      <c r="AD291" s="364"/>
    </row>
    <row r="292" spans="2:30" ht="13.8" thickTop="1">
      <c r="AC292" s="334" t="s">
        <v>299</v>
      </c>
      <c r="AD292" s="334"/>
    </row>
    <row r="293" spans="2:30" ht="13.2" customHeight="1">
      <c r="B293" s="204" t="s">
        <v>298</v>
      </c>
      <c r="C293" s="204"/>
      <c r="D293" s="204"/>
      <c r="E293" s="204"/>
      <c r="F293" s="204"/>
      <c r="G293" s="204"/>
      <c r="H293" s="204"/>
      <c r="I293" s="204"/>
      <c r="J293" s="204"/>
      <c r="K293" s="204"/>
      <c r="L293" s="206" t="s">
        <v>297</v>
      </c>
      <c r="M293" s="206"/>
      <c r="N293" s="208" t="s">
        <v>296</v>
      </c>
      <c r="O293" s="208"/>
      <c r="P293" s="208"/>
      <c r="Q293" s="208"/>
      <c r="R293" s="208"/>
      <c r="S293" s="208"/>
      <c r="T293" s="208"/>
      <c r="U293" s="208"/>
      <c r="V293" s="209" t="s">
        <v>420</v>
      </c>
      <c r="W293" s="210"/>
      <c r="X293" s="210"/>
      <c r="Y293" s="210"/>
      <c r="Z293" s="210"/>
      <c r="AA293" s="210"/>
      <c r="AB293" s="210"/>
      <c r="AC293" s="210"/>
      <c r="AD293" s="211"/>
    </row>
    <row r="294" spans="2:30" ht="13.2" customHeight="1">
      <c r="B294" s="204"/>
      <c r="C294" s="204"/>
      <c r="D294" s="204"/>
      <c r="E294" s="204"/>
      <c r="F294" s="204"/>
      <c r="G294" s="204"/>
      <c r="H294" s="204"/>
      <c r="I294" s="204"/>
      <c r="J294" s="204"/>
      <c r="K294" s="204"/>
      <c r="L294" s="206"/>
      <c r="M294" s="206"/>
      <c r="N294" s="208"/>
      <c r="O294" s="208"/>
      <c r="P294" s="208"/>
      <c r="Q294" s="208"/>
      <c r="R294" s="208"/>
      <c r="S294" s="208"/>
      <c r="T294" s="208"/>
      <c r="U294" s="208"/>
      <c r="V294" s="212"/>
      <c r="W294" s="213"/>
      <c r="X294" s="213"/>
      <c r="Y294" s="213"/>
      <c r="Z294" s="213"/>
      <c r="AA294" s="213"/>
      <c r="AB294" s="213"/>
      <c r="AC294" s="213"/>
      <c r="AD294" s="214"/>
    </row>
    <row r="295" spans="2:30" ht="13.2" customHeight="1">
      <c r="B295" s="204"/>
      <c r="C295" s="204"/>
      <c r="D295" s="204"/>
      <c r="E295" s="204"/>
      <c r="F295" s="204"/>
      <c r="G295" s="204"/>
      <c r="H295" s="204"/>
      <c r="I295" s="204"/>
      <c r="J295" s="204"/>
      <c r="K295" s="204"/>
      <c r="L295" s="206"/>
      <c r="M295" s="206"/>
      <c r="N295" s="208" t="s">
        <v>294</v>
      </c>
      <c r="O295" s="208"/>
      <c r="P295" s="208"/>
      <c r="Q295" s="208"/>
      <c r="R295" s="208" t="s">
        <v>293</v>
      </c>
      <c r="S295" s="208"/>
      <c r="T295" s="208"/>
      <c r="U295" s="208"/>
      <c r="V295" s="212"/>
      <c r="W295" s="213"/>
      <c r="X295" s="213"/>
      <c r="Y295" s="213"/>
      <c r="Z295" s="213"/>
      <c r="AA295" s="213"/>
      <c r="AB295" s="213"/>
      <c r="AC295" s="213"/>
      <c r="AD295" s="214"/>
    </row>
    <row r="296" spans="2:30" ht="13.95" customHeight="1" thickBot="1">
      <c r="B296" s="205"/>
      <c r="C296" s="205"/>
      <c r="D296" s="205"/>
      <c r="E296" s="205"/>
      <c r="F296" s="205"/>
      <c r="G296" s="205"/>
      <c r="H296" s="205"/>
      <c r="I296" s="205"/>
      <c r="J296" s="205"/>
      <c r="K296" s="205"/>
      <c r="L296" s="207"/>
      <c r="M296" s="207"/>
      <c r="N296" s="218"/>
      <c r="O296" s="218"/>
      <c r="P296" s="218"/>
      <c r="Q296" s="218"/>
      <c r="R296" s="218"/>
      <c r="S296" s="218"/>
      <c r="T296" s="218"/>
      <c r="U296" s="218"/>
      <c r="V296" s="215"/>
      <c r="W296" s="216"/>
      <c r="X296" s="216"/>
      <c r="Y296" s="216"/>
      <c r="Z296" s="216"/>
      <c r="AA296" s="216"/>
      <c r="AB296" s="216"/>
      <c r="AC296" s="216"/>
      <c r="AD296" s="217"/>
    </row>
    <row r="297" spans="2:30" ht="13.5" customHeight="1" thickTop="1">
      <c r="B297" s="177"/>
      <c r="C297" s="178"/>
      <c r="D297" s="178"/>
      <c r="E297" s="177"/>
      <c r="F297" s="178"/>
      <c r="G297" s="178"/>
      <c r="H297" s="178"/>
      <c r="I297" s="178"/>
      <c r="J297" s="178"/>
      <c r="K297" s="179"/>
      <c r="L297" s="183"/>
      <c r="M297" s="183"/>
      <c r="N297" s="204"/>
      <c r="O297" s="204"/>
      <c r="P297" s="204"/>
      <c r="Q297" s="204"/>
      <c r="R297" s="204"/>
      <c r="S297" s="204"/>
      <c r="T297" s="204"/>
      <c r="U297" s="204"/>
      <c r="V297" s="187"/>
      <c r="W297" s="188"/>
      <c r="X297" s="188"/>
      <c r="Y297" s="188"/>
      <c r="Z297" s="188"/>
      <c r="AA297" s="188"/>
      <c r="AB297" s="188"/>
      <c r="AC297" s="188"/>
      <c r="AD297" s="189"/>
    </row>
    <row r="298" spans="2:30" ht="13.05" customHeight="1">
      <c r="B298" s="180"/>
      <c r="C298" s="181"/>
      <c r="D298" s="181"/>
      <c r="E298" s="180"/>
      <c r="F298" s="181"/>
      <c r="G298" s="181"/>
      <c r="H298" s="181"/>
      <c r="I298" s="181"/>
      <c r="J298" s="181"/>
      <c r="K298" s="182"/>
      <c r="L298" s="184"/>
      <c r="M298" s="184"/>
      <c r="N298" s="204"/>
      <c r="O298" s="204"/>
      <c r="P298" s="204"/>
      <c r="Q298" s="204"/>
      <c r="R298" s="204"/>
      <c r="S298" s="204"/>
      <c r="T298" s="204"/>
      <c r="U298" s="204"/>
      <c r="V298" s="190"/>
      <c r="W298" s="191"/>
      <c r="X298" s="191"/>
      <c r="Y298" s="191"/>
      <c r="Z298" s="191"/>
      <c r="AA298" s="191"/>
      <c r="AB298" s="191"/>
      <c r="AC298" s="191"/>
      <c r="AD298" s="192"/>
    </row>
    <row r="299" spans="2:30" ht="13.05" customHeight="1">
      <c r="B299" s="221"/>
      <c r="C299" s="221"/>
      <c r="D299" s="221"/>
      <c r="E299" s="365"/>
      <c r="F299" s="184"/>
      <c r="G299" s="184"/>
      <c r="H299" s="184"/>
      <c r="I299" s="184"/>
      <c r="J299" s="184"/>
      <c r="K299" s="184"/>
      <c r="L299" s="184"/>
      <c r="M299" s="184"/>
      <c r="N299" s="204"/>
      <c r="O299" s="204"/>
      <c r="P299" s="204"/>
      <c r="Q299" s="204"/>
      <c r="R299" s="204"/>
      <c r="S299" s="204"/>
      <c r="T299" s="204"/>
      <c r="U299" s="204"/>
      <c r="V299" s="195"/>
      <c r="W299" s="196"/>
      <c r="X299" s="196"/>
      <c r="Y299" s="196"/>
      <c r="Z299" s="196"/>
      <c r="AA299" s="196"/>
      <c r="AB299" s="196"/>
      <c r="AC299" s="196"/>
      <c r="AD299" s="197"/>
    </row>
    <row r="300" spans="2:30" ht="13.05" customHeight="1">
      <c r="B300" s="221"/>
      <c r="C300" s="221"/>
      <c r="D300" s="221"/>
      <c r="E300" s="296"/>
      <c r="F300" s="296"/>
      <c r="G300" s="296"/>
      <c r="H300" s="296"/>
      <c r="I300" s="296"/>
      <c r="J300" s="296"/>
      <c r="K300" s="296"/>
      <c r="L300" s="184"/>
      <c r="M300" s="184"/>
      <c r="N300" s="204"/>
      <c r="O300" s="204"/>
      <c r="P300" s="204"/>
      <c r="Q300" s="204"/>
      <c r="R300" s="204"/>
      <c r="S300" s="204"/>
      <c r="T300" s="204"/>
      <c r="U300" s="204"/>
      <c r="V300" s="201"/>
      <c r="W300" s="202"/>
      <c r="X300" s="202"/>
      <c r="Y300" s="202"/>
      <c r="Z300" s="202"/>
      <c r="AA300" s="202"/>
      <c r="AB300" s="202"/>
      <c r="AC300" s="202"/>
      <c r="AD300" s="203"/>
    </row>
    <row r="301" spans="2:30" ht="13.05" customHeight="1">
      <c r="B301" s="221"/>
      <c r="C301" s="221"/>
      <c r="D301" s="221"/>
      <c r="E301" s="221"/>
      <c r="F301" s="221"/>
      <c r="G301" s="221"/>
      <c r="H301" s="221"/>
      <c r="I301" s="221"/>
      <c r="J301" s="221"/>
      <c r="K301" s="221"/>
      <c r="L301" s="184"/>
      <c r="M301" s="184"/>
      <c r="N301" s="204"/>
      <c r="O301" s="204"/>
      <c r="P301" s="204"/>
      <c r="Q301" s="204"/>
      <c r="R301" s="204"/>
      <c r="S301" s="204"/>
      <c r="T301" s="204"/>
      <c r="U301" s="204"/>
      <c r="V301" s="195"/>
      <c r="W301" s="196"/>
      <c r="X301" s="196"/>
      <c r="Y301" s="196"/>
      <c r="Z301" s="196"/>
      <c r="AA301" s="196"/>
      <c r="AB301" s="196"/>
      <c r="AC301" s="196"/>
      <c r="AD301" s="197"/>
    </row>
    <row r="302" spans="2:30" ht="13.05" customHeight="1">
      <c r="B302" s="221"/>
      <c r="C302" s="221"/>
      <c r="D302" s="221"/>
      <c r="E302" s="221"/>
      <c r="F302" s="221"/>
      <c r="G302" s="221"/>
      <c r="H302" s="221"/>
      <c r="I302" s="221"/>
      <c r="J302" s="221"/>
      <c r="K302" s="221"/>
      <c r="L302" s="184"/>
      <c r="M302" s="184"/>
      <c r="N302" s="204"/>
      <c r="O302" s="204"/>
      <c r="P302" s="204"/>
      <c r="Q302" s="204"/>
      <c r="R302" s="204"/>
      <c r="S302" s="204"/>
      <c r="T302" s="204"/>
      <c r="U302" s="204"/>
      <c r="V302" s="201"/>
      <c r="W302" s="202"/>
      <c r="X302" s="202"/>
      <c r="Y302" s="202"/>
      <c r="Z302" s="202"/>
      <c r="AA302" s="202"/>
      <c r="AB302" s="202"/>
      <c r="AC302" s="202"/>
      <c r="AD302" s="203"/>
    </row>
    <row r="303" spans="2:30">
      <c r="B303" s="221"/>
      <c r="C303" s="221"/>
      <c r="D303" s="221"/>
      <c r="E303" s="184"/>
      <c r="F303" s="184"/>
      <c r="G303" s="184"/>
      <c r="H303" s="184"/>
      <c r="I303" s="184"/>
      <c r="J303" s="184"/>
      <c r="K303" s="184"/>
      <c r="L303" s="184"/>
      <c r="M303" s="184"/>
      <c r="N303" s="204"/>
      <c r="O303" s="204"/>
      <c r="P303" s="204"/>
      <c r="Q303" s="204"/>
      <c r="R303" s="204"/>
      <c r="S303" s="204"/>
      <c r="T303" s="204"/>
      <c r="U303" s="204"/>
      <c r="V303" s="195"/>
      <c r="W303" s="196"/>
      <c r="X303" s="196"/>
      <c r="Y303" s="196"/>
      <c r="Z303" s="196"/>
      <c r="AA303" s="196"/>
      <c r="AB303" s="196"/>
      <c r="AC303" s="196"/>
      <c r="AD303" s="197"/>
    </row>
    <row r="304" spans="2:30">
      <c r="B304" s="221"/>
      <c r="C304" s="221"/>
      <c r="D304" s="221"/>
      <c r="E304" s="184"/>
      <c r="F304" s="184"/>
      <c r="G304" s="184"/>
      <c r="H304" s="184"/>
      <c r="I304" s="184"/>
      <c r="J304" s="184"/>
      <c r="K304" s="184"/>
      <c r="L304" s="184"/>
      <c r="M304" s="184"/>
      <c r="N304" s="204"/>
      <c r="O304" s="204"/>
      <c r="P304" s="204"/>
      <c r="Q304" s="204"/>
      <c r="R304" s="204"/>
      <c r="S304" s="204"/>
      <c r="T304" s="204"/>
      <c r="U304" s="204"/>
      <c r="V304" s="201"/>
      <c r="W304" s="202"/>
      <c r="X304" s="202"/>
      <c r="Y304" s="202"/>
      <c r="Z304" s="202"/>
      <c r="AA304" s="202"/>
      <c r="AB304" s="202"/>
      <c r="AC304" s="202"/>
      <c r="AD304" s="203"/>
    </row>
    <row r="305" spans="2:30">
      <c r="B305" s="221"/>
      <c r="C305" s="221"/>
      <c r="D305" s="221"/>
      <c r="E305" s="184"/>
      <c r="F305" s="184"/>
      <c r="G305" s="184"/>
      <c r="H305" s="184"/>
      <c r="I305" s="184"/>
      <c r="J305" s="184"/>
      <c r="K305" s="184"/>
      <c r="L305" s="184"/>
      <c r="M305" s="184"/>
      <c r="N305" s="204"/>
      <c r="O305" s="204"/>
      <c r="P305" s="204"/>
      <c r="Q305" s="204"/>
      <c r="R305" s="204"/>
      <c r="S305" s="204"/>
      <c r="T305" s="204"/>
      <c r="U305" s="204"/>
      <c r="V305" s="195"/>
      <c r="W305" s="196"/>
      <c r="X305" s="196"/>
      <c r="Y305" s="196"/>
      <c r="Z305" s="196"/>
      <c r="AA305" s="196"/>
      <c r="AB305" s="196"/>
      <c r="AC305" s="196"/>
      <c r="AD305" s="197"/>
    </row>
    <row r="306" spans="2:30">
      <c r="B306" s="221"/>
      <c r="C306" s="221"/>
      <c r="D306" s="221"/>
      <c r="E306" s="184"/>
      <c r="F306" s="184"/>
      <c r="G306" s="184"/>
      <c r="H306" s="184"/>
      <c r="I306" s="184"/>
      <c r="J306" s="184"/>
      <c r="K306" s="184"/>
      <c r="L306" s="184"/>
      <c r="M306" s="184"/>
      <c r="N306" s="204"/>
      <c r="O306" s="204"/>
      <c r="P306" s="204"/>
      <c r="Q306" s="204"/>
      <c r="R306" s="204"/>
      <c r="S306" s="204"/>
      <c r="T306" s="204"/>
      <c r="U306" s="204"/>
      <c r="V306" s="201"/>
      <c r="W306" s="202"/>
      <c r="X306" s="202"/>
      <c r="Y306" s="202"/>
      <c r="Z306" s="202"/>
      <c r="AA306" s="202"/>
      <c r="AB306" s="202"/>
      <c r="AC306" s="202"/>
      <c r="AD306" s="203"/>
    </row>
    <row r="307" spans="2:30">
      <c r="B307" s="221"/>
      <c r="C307" s="221"/>
      <c r="D307" s="221"/>
      <c r="E307" s="184"/>
      <c r="F307" s="184"/>
      <c r="G307" s="184"/>
      <c r="H307" s="184"/>
      <c r="I307" s="184"/>
      <c r="J307" s="184"/>
      <c r="K307" s="184"/>
      <c r="L307" s="184"/>
      <c r="M307" s="184"/>
      <c r="N307" s="204"/>
      <c r="O307" s="204"/>
      <c r="P307" s="204"/>
      <c r="Q307" s="204"/>
      <c r="R307" s="204"/>
      <c r="S307" s="204"/>
      <c r="T307" s="204"/>
      <c r="U307" s="204"/>
      <c r="V307" s="195"/>
      <c r="W307" s="196"/>
      <c r="X307" s="196"/>
      <c r="Y307" s="196"/>
      <c r="Z307" s="196"/>
      <c r="AA307" s="196"/>
      <c r="AB307" s="196"/>
      <c r="AC307" s="196"/>
      <c r="AD307" s="197"/>
    </row>
    <row r="308" spans="2:30">
      <c r="B308" s="221"/>
      <c r="C308" s="221"/>
      <c r="D308" s="221"/>
      <c r="E308" s="184"/>
      <c r="F308" s="184"/>
      <c r="G308" s="184"/>
      <c r="H308" s="184"/>
      <c r="I308" s="184"/>
      <c r="J308" s="184"/>
      <c r="K308" s="184"/>
      <c r="L308" s="184"/>
      <c r="M308" s="184"/>
      <c r="N308" s="204"/>
      <c r="O308" s="204"/>
      <c r="P308" s="204"/>
      <c r="Q308" s="204"/>
      <c r="R308" s="204"/>
      <c r="S308" s="204"/>
      <c r="T308" s="204"/>
      <c r="U308" s="204"/>
      <c r="V308" s="201"/>
      <c r="W308" s="202"/>
      <c r="X308" s="202"/>
      <c r="Y308" s="202"/>
      <c r="Z308" s="202"/>
      <c r="AA308" s="202"/>
      <c r="AB308" s="202"/>
      <c r="AC308" s="202"/>
      <c r="AD308" s="203"/>
    </row>
    <row r="309" spans="2:30">
      <c r="B309" s="221"/>
      <c r="C309" s="221"/>
      <c r="D309" s="221"/>
      <c r="E309" s="184"/>
      <c r="F309" s="184"/>
      <c r="G309" s="184"/>
      <c r="H309" s="184"/>
      <c r="I309" s="184"/>
      <c r="J309" s="184"/>
      <c r="K309" s="184"/>
      <c r="L309" s="184"/>
      <c r="M309" s="184"/>
      <c r="N309" s="184"/>
      <c r="O309" s="184"/>
      <c r="P309" s="184"/>
      <c r="Q309" s="184"/>
      <c r="R309" s="184"/>
      <c r="S309" s="184"/>
      <c r="T309" s="184"/>
      <c r="U309" s="184"/>
      <c r="V309" s="195"/>
      <c r="W309" s="196"/>
      <c r="X309" s="196"/>
      <c r="Y309" s="196"/>
      <c r="Z309" s="196"/>
      <c r="AA309" s="196"/>
      <c r="AB309" s="196"/>
      <c r="AC309" s="196"/>
      <c r="AD309" s="197"/>
    </row>
    <row r="310" spans="2:30">
      <c r="B310" s="221"/>
      <c r="C310" s="221"/>
      <c r="D310" s="221"/>
      <c r="E310" s="184"/>
      <c r="F310" s="184"/>
      <c r="G310" s="184"/>
      <c r="H310" s="184"/>
      <c r="I310" s="184"/>
      <c r="J310" s="184"/>
      <c r="K310" s="184"/>
      <c r="L310" s="184"/>
      <c r="M310" s="184"/>
      <c r="N310" s="184"/>
      <c r="O310" s="184"/>
      <c r="P310" s="184"/>
      <c r="Q310" s="184"/>
      <c r="R310" s="184"/>
      <c r="S310" s="184"/>
      <c r="T310" s="184"/>
      <c r="U310" s="184"/>
      <c r="V310" s="201"/>
      <c r="W310" s="202"/>
      <c r="X310" s="202"/>
      <c r="Y310" s="202"/>
      <c r="Z310" s="202"/>
      <c r="AA310" s="202"/>
      <c r="AB310" s="202"/>
      <c r="AC310" s="202"/>
      <c r="AD310" s="203"/>
    </row>
    <row r="311" spans="2:30">
      <c r="B311" s="221"/>
      <c r="C311" s="221"/>
      <c r="D311" s="221"/>
      <c r="E311" s="184"/>
      <c r="F311" s="184"/>
      <c r="G311" s="184"/>
      <c r="H311" s="184"/>
      <c r="I311" s="184"/>
      <c r="J311" s="184"/>
      <c r="K311" s="184"/>
      <c r="L311" s="184"/>
      <c r="M311" s="184"/>
      <c r="N311" s="184"/>
      <c r="O311" s="184"/>
      <c r="P311" s="184"/>
      <c r="Q311" s="184"/>
      <c r="R311" s="184"/>
      <c r="S311" s="184"/>
      <c r="T311" s="184"/>
      <c r="U311" s="184"/>
      <c r="V311" s="195"/>
      <c r="W311" s="196"/>
      <c r="X311" s="196"/>
      <c r="Y311" s="196"/>
      <c r="Z311" s="196"/>
      <c r="AA311" s="196"/>
      <c r="AB311" s="196"/>
      <c r="AC311" s="196"/>
      <c r="AD311" s="197"/>
    </row>
    <row r="312" spans="2:30">
      <c r="B312" s="221"/>
      <c r="C312" s="221"/>
      <c r="D312" s="221"/>
      <c r="E312" s="184"/>
      <c r="F312" s="184"/>
      <c r="G312" s="184"/>
      <c r="H312" s="184"/>
      <c r="I312" s="184"/>
      <c r="J312" s="184"/>
      <c r="K312" s="184"/>
      <c r="L312" s="184"/>
      <c r="M312" s="184"/>
      <c r="N312" s="184"/>
      <c r="O312" s="184"/>
      <c r="P312" s="184"/>
      <c r="Q312" s="184"/>
      <c r="R312" s="184"/>
      <c r="S312" s="184"/>
      <c r="T312" s="184"/>
      <c r="U312" s="184"/>
      <c r="V312" s="201"/>
      <c r="W312" s="202"/>
      <c r="X312" s="202"/>
      <c r="Y312" s="202"/>
      <c r="Z312" s="202"/>
      <c r="AA312" s="202"/>
      <c r="AB312" s="202"/>
      <c r="AC312" s="202"/>
      <c r="AD312" s="203"/>
    </row>
    <row r="313" spans="2:30">
      <c r="B313" s="221"/>
      <c r="C313" s="221"/>
      <c r="D313" s="221"/>
      <c r="E313" s="184"/>
      <c r="F313" s="184"/>
      <c r="G313" s="184"/>
      <c r="H313" s="184"/>
      <c r="I313" s="184"/>
      <c r="J313" s="184"/>
      <c r="K313" s="184"/>
      <c r="L313" s="184"/>
      <c r="M313" s="184"/>
      <c r="N313" s="184"/>
      <c r="O313" s="184"/>
      <c r="P313" s="184"/>
      <c r="Q313" s="184"/>
      <c r="R313" s="184"/>
      <c r="S313" s="184"/>
      <c r="T313" s="184"/>
      <c r="U313" s="184"/>
      <c r="V313" s="195"/>
      <c r="W313" s="196"/>
      <c r="X313" s="196"/>
      <c r="Y313" s="196"/>
      <c r="Z313" s="196"/>
      <c r="AA313" s="196"/>
      <c r="AB313" s="196"/>
      <c r="AC313" s="196"/>
      <c r="AD313" s="197"/>
    </row>
    <row r="314" spans="2:30">
      <c r="B314" s="221"/>
      <c r="C314" s="221"/>
      <c r="D314" s="221"/>
      <c r="E314" s="184"/>
      <c r="F314" s="184"/>
      <c r="G314" s="184"/>
      <c r="H314" s="184"/>
      <c r="I314" s="184"/>
      <c r="J314" s="184"/>
      <c r="K314" s="184"/>
      <c r="L314" s="184"/>
      <c r="M314" s="184"/>
      <c r="N314" s="184"/>
      <c r="O314" s="184"/>
      <c r="P314" s="184"/>
      <c r="Q314" s="184"/>
      <c r="R314" s="184"/>
      <c r="S314" s="184"/>
      <c r="T314" s="184"/>
      <c r="U314" s="184"/>
      <c r="V314" s="201"/>
      <c r="W314" s="202"/>
      <c r="X314" s="202"/>
      <c r="Y314" s="202"/>
      <c r="Z314" s="202"/>
      <c r="AA314" s="202"/>
      <c r="AB314" s="202"/>
      <c r="AC314" s="202"/>
      <c r="AD314" s="203"/>
    </row>
    <row r="315" spans="2:30">
      <c r="B315" s="221"/>
      <c r="C315" s="221"/>
      <c r="D315" s="221"/>
      <c r="E315" s="184"/>
      <c r="F315" s="184"/>
      <c r="G315" s="184"/>
      <c r="H315" s="184"/>
      <c r="I315" s="184"/>
      <c r="J315" s="184"/>
      <c r="K315" s="184"/>
      <c r="L315" s="184"/>
      <c r="M315" s="184"/>
      <c r="N315" s="184"/>
      <c r="O315" s="184"/>
      <c r="P315" s="184"/>
      <c r="Q315" s="184"/>
      <c r="R315" s="184"/>
      <c r="S315" s="184"/>
      <c r="T315" s="184"/>
      <c r="U315" s="184"/>
      <c r="V315" s="195"/>
      <c r="W315" s="196"/>
      <c r="X315" s="196"/>
      <c r="Y315" s="196"/>
      <c r="Z315" s="196"/>
      <c r="AA315" s="196"/>
      <c r="AB315" s="196"/>
      <c r="AC315" s="196"/>
      <c r="AD315" s="197"/>
    </row>
    <row r="316" spans="2:30">
      <c r="B316" s="221"/>
      <c r="C316" s="221"/>
      <c r="D316" s="221"/>
      <c r="E316" s="184"/>
      <c r="F316" s="184"/>
      <c r="G316" s="184"/>
      <c r="H316" s="184"/>
      <c r="I316" s="184"/>
      <c r="J316" s="184"/>
      <c r="K316" s="184"/>
      <c r="L316" s="184"/>
      <c r="M316" s="184"/>
      <c r="N316" s="184"/>
      <c r="O316" s="184"/>
      <c r="P316" s="184"/>
      <c r="Q316" s="184"/>
      <c r="R316" s="184"/>
      <c r="S316" s="184"/>
      <c r="T316" s="184"/>
      <c r="U316" s="184"/>
      <c r="V316" s="201"/>
      <c r="W316" s="202"/>
      <c r="X316" s="202"/>
      <c r="Y316" s="202"/>
      <c r="Z316" s="202"/>
      <c r="AA316" s="202"/>
      <c r="AB316" s="202"/>
      <c r="AC316" s="202"/>
      <c r="AD316" s="203"/>
    </row>
    <row r="317" spans="2:30">
      <c r="B317" s="221"/>
      <c r="C317" s="221"/>
      <c r="D317" s="221"/>
      <c r="E317" s="184"/>
      <c r="F317" s="184"/>
      <c r="G317" s="184"/>
      <c r="H317" s="184"/>
      <c r="I317" s="184"/>
      <c r="J317" s="184"/>
      <c r="K317" s="184"/>
      <c r="L317" s="184"/>
      <c r="M317" s="184"/>
      <c r="N317" s="184"/>
      <c r="O317" s="184"/>
      <c r="P317" s="184"/>
      <c r="Q317" s="184"/>
      <c r="R317" s="184"/>
      <c r="S317" s="184"/>
      <c r="T317" s="184"/>
      <c r="U317" s="184"/>
      <c r="V317" s="195"/>
      <c r="W317" s="196"/>
      <c r="X317" s="196"/>
      <c r="Y317" s="196"/>
      <c r="Z317" s="196"/>
      <c r="AA317" s="196"/>
      <c r="AB317" s="196"/>
      <c r="AC317" s="196"/>
      <c r="AD317" s="197"/>
    </row>
    <row r="318" spans="2:30">
      <c r="B318" s="221"/>
      <c r="C318" s="221"/>
      <c r="D318" s="221"/>
      <c r="E318" s="184"/>
      <c r="F318" s="184"/>
      <c r="G318" s="184"/>
      <c r="H318" s="184"/>
      <c r="I318" s="184"/>
      <c r="J318" s="184"/>
      <c r="K318" s="184"/>
      <c r="L318" s="184"/>
      <c r="M318" s="184"/>
      <c r="N318" s="184"/>
      <c r="O318" s="184"/>
      <c r="P318" s="184"/>
      <c r="Q318" s="184"/>
      <c r="R318" s="184"/>
      <c r="S318" s="184"/>
      <c r="T318" s="184"/>
      <c r="U318" s="184"/>
      <c r="V318" s="201"/>
      <c r="W318" s="202"/>
      <c r="X318" s="202"/>
      <c r="Y318" s="202"/>
      <c r="Z318" s="202"/>
      <c r="AA318" s="202"/>
      <c r="AB318" s="202"/>
      <c r="AC318" s="202"/>
      <c r="AD318" s="203"/>
    </row>
    <row r="319" spans="2:30">
      <c r="B319" s="221"/>
      <c r="C319" s="221"/>
      <c r="D319" s="221"/>
      <c r="E319" s="184"/>
      <c r="F319" s="184"/>
      <c r="G319" s="184"/>
      <c r="H319" s="184"/>
      <c r="I319" s="184"/>
      <c r="J319" s="184"/>
      <c r="K319" s="184"/>
      <c r="L319" s="184"/>
      <c r="M319" s="184"/>
      <c r="N319" s="184"/>
      <c r="O319" s="184"/>
      <c r="P319" s="184"/>
      <c r="Q319" s="184"/>
      <c r="R319" s="184"/>
      <c r="S319" s="184"/>
      <c r="T319" s="184"/>
      <c r="U319" s="184"/>
      <c r="V319" s="195"/>
      <c r="W319" s="196"/>
      <c r="X319" s="196"/>
      <c r="Y319" s="196"/>
      <c r="Z319" s="196"/>
      <c r="AA319" s="196"/>
      <c r="AB319" s="196"/>
      <c r="AC319" s="196"/>
      <c r="AD319" s="197"/>
    </row>
    <row r="320" spans="2:30">
      <c r="B320" s="221"/>
      <c r="C320" s="221"/>
      <c r="D320" s="221"/>
      <c r="E320" s="184"/>
      <c r="F320" s="184"/>
      <c r="G320" s="184"/>
      <c r="H320" s="184"/>
      <c r="I320" s="184"/>
      <c r="J320" s="184"/>
      <c r="K320" s="184"/>
      <c r="L320" s="184"/>
      <c r="M320" s="184"/>
      <c r="N320" s="184"/>
      <c r="O320" s="184"/>
      <c r="P320" s="184"/>
      <c r="Q320" s="184"/>
      <c r="R320" s="184"/>
      <c r="S320" s="184"/>
      <c r="T320" s="184"/>
      <c r="U320" s="184"/>
      <c r="V320" s="201"/>
      <c r="W320" s="202"/>
      <c r="X320" s="202"/>
      <c r="Y320" s="202"/>
      <c r="Z320" s="202"/>
      <c r="AA320" s="202"/>
      <c r="AB320" s="202"/>
      <c r="AC320" s="202"/>
      <c r="AD320" s="203"/>
    </row>
    <row r="321" spans="2:30">
      <c r="B321" s="221"/>
      <c r="C321" s="221"/>
      <c r="D321" s="221"/>
      <c r="E321" s="184"/>
      <c r="F321" s="184"/>
      <c r="G321" s="184"/>
      <c r="H321" s="184"/>
      <c r="I321" s="184"/>
      <c r="J321" s="184"/>
      <c r="K321" s="184"/>
      <c r="L321" s="184"/>
      <c r="M321" s="184"/>
      <c r="N321" s="184"/>
      <c r="O321" s="184"/>
      <c r="P321" s="184"/>
      <c r="Q321" s="184"/>
      <c r="R321" s="184"/>
      <c r="S321" s="184"/>
      <c r="T321" s="184"/>
      <c r="U321" s="184"/>
      <c r="V321" s="195"/>
      <c r="W321" s="196"/>
      <c r="X321" s="196"/>
      <c r="Y321" s="196"/>
      <c r="Z321" s="196"/>
      <c r="AA321" s="196"/>
      <c r="AB321" s="196"/>
      <c r="AC321" s="196"/>
      <c r="AD321" s="197"/>
    </row>
    <row r="322" spans="2:30">
      <c r="B322" s="221"/>
      <c r="C322" s="221"/>
      <c r="D322" s="221"/>
      <c r="E322" s="184"/>
      <c r="F322" s="184"/>
      <c r="G322" s="184"/>
      <c r="H322" s="184"/>
      <c r="I322" s="184"/>
      <c r="J322" s="184"/>
      <c r="K322" s="184"/>
      <c r="L322" s="184"/>
      <c r="M322" s="184"/>
      <c r="N322" s="184"/>
      <c r="O322" s="184"/>
      <c r="P322" s="184"/>
      <c r="Q322" s="184"/>
      <c r="R322" s="184"/>
      <c r="S322" s="184"/>
      <c r="T322" s="184"/>
      <c r="U322" s="184"/>
      <c r="V322" s="201"/>
      <c r="W322" s="202"/>
      <c r="X322" s="202"/>
      <c r="Y322" s="202"/>
      <c r="Z322" s="202"/>
      <c r="AA322" s="202"/>
      <c r="AB322" s="202"/>
      <c r="AC322" s="202"/>
      <c r="AD322" s="203"/>
    </row>
    <row r="323" spans="2:30">
      <c r="B323" s="221"/>
      <c r="C323" s="221"/>
      <c r="D323" s="221"/>
      <c r="E323" s="184"/>
      <c r="F323" s="184"/>
      <c r="G323" s="184"/>
      <c r="H323" s="184"/>
      <c r="I323" s="184"/>
      <c r="J323" s="184"/>
      <c r="K323" s="184"/>
      <c r="L323" s="184"/>
      <c r="M323" s="184"/>
      <c r="N323" s="184"/>
      <c r="O323" s="184"/>
      <c r="P323" s="184"/>
      <c r="Q323" s="184"/>
      <c r="R323" s="184"/>
      <c r="S323" s="184"/>
      <c r="T323" s="184"/>
      <c r="U323" s="184"/>
      <c r="V323" s="195"/>
      <c r="W323" s="196"/>
      <c r="X323" s="196"/>
      <c r="Y323" s="196"/>
      <c r="Z323" s="196"/>
      <c r="AA323" s="196"/>
      <c r="AB323" s="196"/>
      <c r="AC323" s="196"/>
      <c r="AD323" s="197"/>
    </row>
    <row r="324" spans="2:30">
      <c r="B324" s="221"/>
      <c r="C324" s="221"/>
      <c r="D324" s="221"/>
      <c r="E324" s="184"/>
      <c r="F324" s="184"/>
      <c r="G324" s="184"/>
      <c r="H324" s="184"/>
      <c r="I324" s="184"/>
      <c r="J324" s="184"/>
      <c r="K324" s="184"/>
      <c r="L324" s="184"/>
      <c r="M324" s="184"/>
      <c r="N324" s="184"/>
      <c r="O324" s="184"/>
      <c r="P324" s="184"/>
      <c r="Q324" s="184"/>
      <c r="R324" s="184"/>
      <c r="S324" s="184"/>
      <c r="T324" s="184"/>
      <c r="U324" s="184"/>
      <c r="V324" s="201"/>
      <c r="W324" s="202"/>
      <c r="X324" s="202"/>
      <c r="Y324" s="202"/>
      <c r="Z324" s="202"/>
      <c r="AA324" s="202"/>
      <c r="AB324" s="202"/>
      <c r="AC324" s="202"/>
      <c r="AD324" s="203"/>
    </row>
    <row r="325" spans="2:30">
      <c r="B325" s="221"/>
      <c r="C325" s="221"/>
      <c r="D325" s="221"/>
      <c r="E325" s="184"/>
      <c r="F325" s="184"/>
      <c r="G325" s="184"/>
      <c r="H325" s="184"/>
      <c r="I325" s="184"/>
      <c r="J325" s="184"/>
      <c r="K325" s="184"/>
      <c r="L325" s="184"/>
      <c r="M325" s="184"/>
      <c r="N325" s="184"/>
      <c r="O325" s="184"/>
      <c r="P325" s="184"/>
      <c r="Q325" s="184"/>
      <c r="R325" s="184"/>
      <c r="S325" s="184"/>
      <c r="T325" s="184"/>
      <c r="U325" s="184"/>
      <c r="V325" s="195"/>
      <c r="W325" s="196"/>
      <c r="X325" s="196"/>
      <c r="Y325" s="196"/>
      <c r="Z325" s="196"/>
      <c r="AA325" s="196"/>
      <c r="AB325" s="196"/>
      <c r="AC325" s="196"/>
      <c r="AD325" s="197"/>
    </row>
    <row r="326" spans="2:30">
      <c r="B326" s="221"/>
      <c r="C326" s="221"/>
      <c r="D326" s="221"/>
      <c r="E326" s="184"/>
      <c r="F326" s="184"/>
      <c r="G326" s="184"/>
      <c r="H326" s="184"/>
      <c r="I326" s="184"/>
      <c r="J326" s="184"/>
      <c r="K326" s="184"/>
      <c r="L326" s="184"/>
      <c r="M326" s="184"/>
      <c r="N326" s="184"/>
      <c r="O326" s="184"/>
      <c r="P326" s="184"/>
      <c r="Q326" s="184"/>
      <c r="R326" s="184"/>
      <c r="S326" s="184"/>
      <c r="T326" s="184"/>
      <c r="U326" s="184"/>
      <c r="V326" s="201"/>
      <c r="W326" s="202"/>
      <c r="X326" s="202"/>
      <c r="Y326" s="202"/>
      <c r="Z326" s="202"/>
      <c r="AA326" s="202"/>
      <c r="AB326" s="202"/>
      <c r="AC326" s="202"/>
      <c r="AD326" s="203"/>
    </row>
    <row r="327" spans="2:30">
      <c r="B327" s="284"/>
      <c r="C327" s="221"/>
      <c r="D327" s="221"/>
      <c r="E327" s="184"/>
      <c r="F327" s="184"/>
      <c r="G327" s="184"/>
      <c r="H327" s="184"/>
      <c r="I327" s="184"/>
      <c r="J327" s="184"/>
      <c r="K327" s="184"/>
      <c r="L327" s="184"/>
      <c r="M327" s="184"/>
      <c r="N327" s="184"/>
      <c r="O327" s="184"/>
      <c r="P327" s="184"/>
      <c r="Q327" s="184"/>
      <c r="R327" s="184"/>
      <c r="S327" s="184"/>
      <c r="T327" s="184"/>
      <c r="U327" s="184"/>
      <c r="V327" s="195"/>
      <c r="W327" s="196"/>
      <c r="X327" s="196"/>
      <c r="Y327" s="196"/>
      <c r="Z327" s="196"/>
      <c r="AA327" s="196"/>
      <c r="AB327" s="196"/>
      <c r="AC327" s="196"/>
      <c r="AD327" s="197"/>
    </row>
    <row r="328" spans="2:30">
      <c r="B328" s="221"/>
      <c r="C328" s="221"/>
      <c r="D328" s="221"/>
      <c r="E328" s="184"/>
      <c r="F328" s="184"/>
      <c r="G328" s="184"/>
      <c r="H328" s="184"/>
      <c r="I328" s="184"/>
      <c r="J328" s="184"/>
      <c r="K328" s="184"/>
      <c r="L328" s="184"/>
      <c r="M328" s="184"/>
      <c r="N328" s="184"/>
      <c r="O328" s="184"/>
      <c r="P328" s="184"/>
      <c r="Q328" s="184"/>
      <c r="R328" s="184"/>
      <c r="S328" s="184"/>
      <c r="T328" s="184"/>
      <c r="U328" s="184"/>
      <c r="V328" s="201"/>
      <c r="W328" s="202"/>
      <c r="X328" s="202"/>
      <c r="Y328" s="202"/>
      <c r="Z328" s="202"/>
      <c r="AA328" s="202"/>
      <c r="AB328" s="202"/>
      <c r="AC328" s="202"/>
      <c r="AD328" s="203"/>
    </row>
    <row r="329" spans="2:30">
      <c r="B329" s="221"/>
      <c r="C329" s="221"/>
      <c r="D329" s="221"/>
      <c r="E329" s="184"/>
      <c r="F329" s="184"/>
      <c r="G329" s="184"/>
      <c r="H329" s="184"/>
      <c r="I329" s="184"/>
      <c r="J329" s="184"/>
      <c r="K329" s="184"/>
      <c r="L329" s="184"/>
      <c r="M329" s="184"/>
      <c r="N329" s="184"/>
      <c r="O329" s="184"/>
      <c r="P329" s="184"/>
      <c r="Q329" s="184"/>
      <c r="R329" s="184"/>
      <c r="S329" s="184"/>
      <c r="T329" s="184"/>
      <c r="U329" s="184"/>
      <c r="V329" s="195"/>
      <c r="W329" s="196"/>
      <c r="X329" s="196"/>
      <c r="Y329" s="196"/>
      <c r="Z329" s="196"/>
      <c r="AA329" s="196"/>
      <c r="AB329" s="196"/>
      <c r="AC329" s="196"/>
      <c r="AD329" s="197"/>
    </row>
    <row r="330" spans="2:30">
      <c r="B330" s="221"/>
      <c r="C330" s="221"/>
      <c r="D330" s="221"/>
      <c r="E330" s="184"/>
      <c r="F330" s="184"/>
      <c r="G330" s="184"/>
      <c r="H330" s="184"/>
      <c r="I330" s="184"/>
      <c r="J330" s="184"/>
      <c r="K330" s="184"/>
      <c r="L330" s="184"/>
      <c r="M330" s="184"/>
      <c r="N330" s="184"/>
      <c r="O330" s="184"/>
      <c r="P330" s="184"/>
      <c r="Q330" s="184"/>
      <c r="R330" s="184"/>
      <c r="S330" s="184"/>
      <c r="T330" s="184"/>
      <c r="U330" s="184"/>
      <c r="V330" s="201"/>
      <c r="W330" s="202"/>
      <c r="X330" s="202"/>
      <c r="Y330" s="202"/>
      <c r="Z330" s="202"/>
      <c r="AA330" s="202"/>
      <c r="AB330" s="202"/>
      <c r="AC330" s="202"/>
      <c r="AD330" s="203"/>
    </row>
    <row r="331" spans="2:30">
      <c r="B331" s="221"/>
      <c r="C331" s="221"/>
      <c r="D331" s="221"/>
      <c r="E331" s="184"/>
      <c r="F331" s="184"/>
      <c r="G331" s="184"/>
      <c r="H331" s="184"/>
      <c r="I331" s="184"/>
      <c r="J331" s="184"/>
      <c r="K331" s="184"/>
      <c r="L331" s="184"/>
      <c r="M331" s="184"/>
      <c r="N331" s="184"/>
      <c r="O331" s="184"/>
      <c r="P331" s="184"/>
      <c r="Q331" s="184"/>
      <c r="R331" s="184"/>
      <c r="S331" s="184"/>
      <c r="T331" s="184"/>
      <c r="U331" s="184"/>
      <c r="V331" s="195"/>
      <c r="W331" s="196"/>
      <c r="X331" s="196"/>
      <c r="Y331" s="196"/>
      <c r="Z331" s="196"/>
      <c r="AA331" s="196"/>
      <c r="AB331" s="196"/>
      <c r="AC331" s="196"/>
      <c r="AD331" s="197"/>
    </row>
    <row r="332" spans="2:30">
      <c r="B332" s="221"/>
      <c r="C332" s="221"/>
      <c r="D332" s="221"/>
      <c r="E332" s="184"/>
      <c r="F332" s="184"/>
      <c r="G332" s="184"/>
      <c r="H332" s="184"/>
      <c r="I332" s="184"/>
      <c r="J332" s="184"/>
      <c r="K332" s="184"/>
      <c r="L332" s="184"/>
      <c r="M332" s="184"/>
      <c r="N332" s="184"/>
      <c r="O332" s="184"/>
      <c r="P332" s="184"/>
      <c r="Q332" s="184"/>
      <c r="R332" s="184"/>
      <c r="S332" s="184"/>
      <c r="T332" s="184"/>
      <c r="U332" s="184"/>
      <c r="V332" s="201"/>
      <c r="W332" s="202"/>
      <c r="X332" s="202"/>
      <c r="Y332" s="202"/>
      <c r="Z332" s="202"/>
      <c r="AA332" s="202"/>
      <c r="AB332" s="202"/>
      <c r="AC332" s="202"/>
      <c r="AD332" s="203"/>
    </row>
    <row r="333" spans="2:30">
      <c r="B333" s="221"/>
      <c r="C333" s="221"/>
      <c r="D333" s="221"/>
      <c r="E333" s="184"/>
      <c r="F333" s="184"/>
      <c r="G333" s="184"/>
      <c r="H333" s="184"/>
      <c r="I333" s="184"/>
      <c r="J333" s="184"/>
      <c r="K333" s="184"/>
      <c r="L333" s="184"/>
      <c r="M333" s="184"/>
      <c r="N333" s="184"/>
      <c r="O333" s="184"/>
      <c r="P333" s="184"/>
      <c r="Q333" s="184"/>
      <c r="R333" s="184"/>
      <c r="S333" s="184"/>
      <c r="T333" s="184"/>
      <c r="U333" s="184"/>
      <c r="V333" s="195"/>
      <c r="W333" s="196"/>
      <c r="X333" s="196"/>
      <c r="Y333" s="196"/>
      <c r="Z333" s="196"/>
      <c r="AA333" s="196"/>
      <c r="AB333" s="196"/>
      <c r="AC333" s="196"/>
      <c r="AD333" s="197"/>
    </row>
    <row r="334" spans="2:30">
      <c r="B334" s="221"/>
      <c r="C334" s="221"/>
      <c r="D334" s="221"/>
      <c r="E334" s="184"/>
      <c r="F334" s="184"/>
      <c r="G334" s="184"/>
      <c r="H334" s="184"/>
      <c r="I334" s="184"/>
      <c r="J334" s="184"/>
      <c r="K334" s="184"/>
      <c r="L334" s="184"/>
      <c r="M334" s="184"/>
      <c r="N334" s="184"/>
      <c r="O334" s="184"/>
      <c r="P334" s="184"/>
      <c r="Q334" s="184"/>
      <c r="R334" s="184"/>
      <c r="S334" s="184"/>
      <c r="T334" s="184"/>
      <c r="U334" s="184"/>
      <c r="V334" s="201"/>
      <c r="W334" s="202"/>
      <c r="X334" s="202"/>
      <c r="Y334" s="202"/>
      <c r="Z334" s="202"/>
      <c r="AA334" s="202"/>
      <c r="AB334" s="202"/>
      <c r="AC334" s="202"/>
      <c r="AD334" s="203"/>
    </row>
    <row r="335" spans="2:30">
      <c r="B335" s="221"/>
      <c r="C335" s="221"/>
      <c r="D335" s="221"/>
      <c r="E335" s="184"/>
      <c r="F335" s="184"/>
      <c r="G335" s="184"/>
      <c r="H335" s="184"/>
      <c r="I335" s="184"/>
      <c r="J335" s="184"/>
      <c r="K335" s="184"/>
      <c r="L335" s="184"/>
      <c r="M335" s="184"/>
      <c r="N335" s="184"/>
      <c r="O335" s="184"/>
      <c r="P335" s="184"/>
      <c r="Q335" s="184"/>
      <c r="R335" s="184"/>
      <c r="S335" s="184"/>
      <c r="T335" s="184"/>
      <c r="U335" s="184"/>
      <c r="V335" s="195"/>
      <c r="W335" s="196"/>
      <c r="X335" s="196"/>
      <c r="Y335" s="196"/>
      <c r="Z335" s="196"/>
      <c r="AA335" s="196"/>
      <c r="AB335" s="196"/>
      <c r="AC335" s="196"/>
      <c r="AD335" s="197"/>
    </row>
    <row r="336" spans="2:30">
      <c r="B336" s="221"/>
      <c r="C336" s="221"/>
      <c r="D336" s="221"/>
      <c r="E336" s="184"/>
      <c r="F336" s="184"/>
      <c r="G336" s="184"/>
      <c r="H336" s="184"/>
      <c r="I336" s="184"/>
      <c r="J336" s="184"/>
      <c r="K336" s="184"/>
      <c r="L336" s="184"/>
      <c r="M336" s="184"/>
      <c r="N336" s="184"/>
      <c r="O336" s="184"/>
      <c r="P336" s="184"/>
      <c r="Q336" s="184"/>
      <c r="R336" s="184"/>
      <c r="S336" s="184"/>
      <c r="T336" s="184"/>
      <c r="U336" s="184"/>
      <c r="V336" s="201"/>
      <c r="W336" s="202"/>
      <c r="X336" s="202"/>
      <c r="Y336" s="202"/>
      <c r="Z336" s="202"/>
      <c r="AA336" s="202"/>
      <c r="AB336" s="202"/>
      <c r="AC336" s="202"/>
      <c r="AD336" s="203"/>
    </row>
    <row r="337" spans="2:30">
      <c r="B337" s="221"/>
      <c r="C337" s="221"/>
      <c r="D337" s="221"/>
      <c r="E337" s="184"/>
      <c r="F337" s="184"/>
      <c r="G337" s="184"/>
      <c r="H337" s="184"/>
      <c r="I337" s="184"/>
      <c r="J337" s="184"/>
      <c r="K337" s="184"/>
      <c r="L337" s="184"/>
      <c r="M337" s="184"/>
      <c r="N337" s="184"/>
      <c r="O337" s="184"/>
      <c r="P337" s="184"/>
      <c r="Q337" s="184"/>
      <c r="R337" s="184"/>
      <c r="S337" s="184"/>
      <c r="T337" s="184"/>
      <c r="U337" s="184"/>
      <c r="V337" s="195"/>
      <c r="W337" s="196"/>
      <c r="X337" s="196"/>
      <c r="Y337" s="196"/>
      <c r="Z337" s="196"/>
      <c r="AA337" s="196"/>
      <c r="AB337" s="196"/>
      <c r="AC337" s="196"/>
      <c r="AD337" s="197"/>
    </row>
    <row r="338" spans="2:30">
      <c r="B338" s="221"/>
      <c r="C338" s="221"/>
      <c r="D338" s="221"/>
      <c r="E338" s="184"/>
      <c r="F338" s="184"/>
      <c r="G338" s="184"/>
      <c r="H338" s="184"/>
      <c r="I338" s="184"/>
      <c r="J338" s="184"/>
      <c r="K338" s="184"/>
      <c r="L338" s="184"/>
      <c r="M338" s="184"/>
      <c r="N338" s="184"/>
      <c r="O338" s="184"/>
      <c r="P338" s="184"/>
      <c r="Q338" s="184"/>
      <c r="R338" s="184"/>
      <c r="S338" s="184"/>
      <c r="T338" s="184"/>
      <c r="U338" s="184"/>
      <c r="V338" s="201"/>
      <c r="W338" s="202"/>
      <c r="X338" s="202"/>
      <c r="Y338" s="202"/>
      <c r="Z338" s="202"/>
      <c r="AA338" s="202"/>
      <c r="AB338" s="202"/>
      <c r="AC338" s="202"/>
      <c r="AD338" s="203"/>
    </row>
    <row r="339" spans="2:30">
      <c r="B339" s="221"/>
      <c r="C339" s="221"/>
      <c r="D339" s="221"/>
      <c r="E339" s="184"/>
      <c r="F339" s="184"/>
      <c r="G339" s="184"/>
      <c r="H339" s="184"/>
      <c r="I339" s="184"/>
      <c r="J339" s="184"/>
      <c r="K339" s="184"/>
      <c r="L339" s="184"/>
      <c r="M339" s="184"/>
      <c r="N339" s="184"/>
      <c r="O339" s="184"/>
      <c r="P339" s="184"/>
      <c r="Q339" s="184"/>
      <c r="R339" s="184"/>
      <c r="S339" s="184"/>
      <c r="T339" s="184"/>
      <c r="U339" s="184"/>
      <c r="V339" s="195"/>
      <c r="W339" s="196"/>
      <c r="X339" s="196"/>
      <c r="Y339" s="196"/>
      <c r="Z339" s="196"/>
      <c r="AA339" s="196"/>
      <c r="AB339" s="196"/>
      <c r="AC339" s="196"/>
      <c r="AD339" s="197"/>
    </row>
    <row r="340" spans="2:30">
      <c r="B340" s="221"/>
      <c r="C340" s="221"/>
      <c r="D340" s="221"/>
      <c r="E340" s="184"/>
      <c r="F340" s="184"/>
      <c r="G340" s="184"/>
      <c r="H340" s="184"/>
      <c r="I340" s="184"/>
      <c r="J340" s="184"/>
      <c r="K340" s="184"/>
      <c r="L340" s="184"/>
      <c r="M340" s="184"/>
      <c r="N340" s="184"/>
      <c r="O340" s="184"/>
      <c r="P340" s="184"/>
      <c r="Q340" s="184"/>
      <c r="R340" s="184"/>
      <c r="S340" s="184"/>
      <c r="T340" s="184"/>
      <c r="U340" s="184"/>
      <c r="V340" s="201"/>
      <c r="W340" s="202"/>
      <c r="X340" s="202"/>
      <c r="Y340" s="202"/>
      <c r="Z340" s="202"/>
      <c r="AA340" s="202"/>
      <c r="AB340" s="202"/>
      <c r="AC340" s="202"/>
      <c r="AD340" s="203"/>
    </row>
    <row r="341" spans="2:30">
      <c r="B341" s="221"/>
      <c r="C341" s="221"/>
      <c r="D341" s="221"/>
      <c r="E341" s="184"/>
      <c r="F341" s="184"/>
      <c r="G341" s="184"/>
      <c r="H341" s="184"/>
      <c r="I341" s="184"/>
      <c r="J341" s="184"/>
      <c r="K341" s="184"/>
      <c r="L341" s="184"/>
      <c r="M341" s="184"/>
      <c r="N341" s="184"/>
      <c r="O341" s="184"/>
      <c r="P341" s="184"/>
      <c r="Q341" s="184"/>
      <c r="R341" s="184"/>
      <c r="S341" s="184"/>
      <c r="T341" s="184"/>
      <c r="U341" s="184"/>
      <c r="V341" s="195"/>
      <c r="W341" s="196"/>
      <c r="X341" s="196"/>
      <c r="Y341" s="196"/>
      <c r="Z341" s="196"/>
      <c r="AA341" s="196"/>
      <c r="AB341" s="196"/>
      <c r="AC341" s="196"/>
      <c r="AD341" s="197"/>
    </row>
    <row r="342" spans="2:30">
      <c r="B342" s="221"/>
      <c r="C342" s="221"/>
      <c r="D342" s="221"/>
      <c r="E342" s="184"/>
      <c r="F342" s="184"/>
      <c r="G342" s="184"/>
      <c r="H342" s="184"/>
      <c r="I342" s="184"/>
      <c r="J342" s="184"/>
      <c r="K342" s="184"/>
      <c r="L342" s="184"/>
      <c r="M342" s="184"/>
      <c r="N342" s="184"/>
      <c r="O342" s="184"/>
      <c r="P342" s="184"/>
      <c r="Q342" s="184"/>
      <c r="R342" s="184"/>
      <c r="S342" s="184"/>
      <c r="T342" s="184"/>
      <c r="U342" s="184"/>
      <c r="V342" s="201"/>
      <c r="W342" s="202"/>
      <c r="X342" s="202"/>
      <c r="Y342" s="202"/>
      <c r="Z342" s="202"/>
      <c r="AA342" s="202"/>
      <c r="AB342" s="202"/>
      <c r="AC342" s="202"/>
      <c r="AD342" s="203"/>
    </row>
    <row r="343" spans="2:30">
      <c r="B343" s="221"/>
      <c r="C343" s="221"/>
      <c r="D343" s="221"/>
      <c r="E343" s="184"/>
      <c r="F343" s="184"/>
      <c r="G343" s="184"/>
      <c r="H343" s="184"/>
      <c r="I343" s="184"/>
      <c r="J343" s="184"/>
      <c r="K343" s="184"/>
      <c r="L343" s="184"/>
      <c r="M343" s="184"/>
      <c r="N343" s="184"/>
      <c r="O343" s="184"/>
      <c r="P343" s="184"/>
      <c r="Q343" s="184"/>
      <c r="R343" s="184"/>
      <c r="S343" s="184"/>
      <c r="T343" s="184"/>
      <c r="U343" s="184"/>
      <c r="V343" s="195"/>
      <c r="W343" s="196"/>
      <c r="X343" s="196"/>
      <c r="Y343" s="196"/>
      <c r="Z343" s="196"/>
      <c r="AA343" s="196"/>
      <c r="AB343" s="196"/>
      <c r="AC343" s="196"/>
      <c r="AD343" s="197"/>
    </row>
    <row r="344" spans="2:30">
      <c r="B344" s="221"/>
      <c r="C344" s="221"/>
      <c r="D344" s="221"/>
      <c r="E344" s="184"/>
      <c r="F344" s="184"/>
      <c r="G344" s="184"/>
      <c r="H344" s="184"/>
      <c r="I344" s="184"/>
      <c r="J344" s="184"/>
      <c r="K344" s="184"/>
      <c r="L344" s="184"/>
      <c r="M344" s="184"/>
      <c r="N344" s="184"/>
      <c r="O344" s="184"/>
      <c r="P344" s="184"/>
      <c r="Q344" s="184"/>
      <c r="R344" s="184"/>
      <c r="S344" s="184"/>
      <c r="T344" s="184"/>
      <c r="U344" s="184"/>
      <c r="V344" s="201"/>
      <c r="W344" s="202"/>
      <c r="X344" s="202"/>
      <c r="Y344" s="202"/>
      <c r="Z344" s="202"/>
      <c r="AA344" s="202"/>
      <c r="AB344" s="202"/>
      <c r="AC344" s="202"/>
      <c r="AD344" s="203"/>
    </row>
    <row r="345" spans="2:30">
      <c r="B345" s="221"/>
      <c r="C345" s="221"/>
      <c r="D345" s="221"/>
      <c r="E345" s="184"/>
      <c r="F345" s="184"/>
      <c r="G345" s="184"/>
      <c r="H345" s="184"/>
      <c r="I345" s="184"/>
      <c r="J345" s="184"/>
      <c r="K345" s="184"/>
      <c r="L345" s="184"/>
      <c r="M345" s="184"/>
      <c r="N345" s="184"/>
      <c r="O345" s="184"/>
      <c r="P345" s="184"/>
      <c r="Q345" s="184"/>
      <c r="R345" s="184"/>
      <c r="S345" s="184"/>
      <c r="T345" s="184"/>
      <c r="U345" s="184"/>
      <c r="V345" s="195"/>
      <c r="W345" s="196"/>
      <c r="X345" s="196"/>
      <c r="Y345" s="196"/>
      <c r="Z345" s="196"/>
      <c r="AA345" s="196"/>
      <c r="AB345" s="196"/>
      <c r="AC345" s="196"/>
      <c r="AD345" s="197"/>
    </row>
    <row r="346" spans="2:30">
      <c r="B346" s="221"/>
      <c r="C346" s="221"/>
      <c r="D346" s="221"/>
      <c r="E346" s="184"/>
      <c r="F346" s="184"/>
      <c r="G346" s="184"/>
      <c r="H346" s="184"/>
      <c r="I346" s="184"/>
      <c r="J346" s="184"/>
      <c r="K346" s="184"/>
      <c r="L346" s="184"/>
      <c r="M346" s="184"/>
      <c r="N346" s="184"/>
      <c r="O346" s="184"/>
      <c r="P346" s="184"/>
      <c r="Q346" s="184"/>
      <c r="R346" s="184"/>
      <c r="S346" s="184"/>
      <c r="T346" s="184"/>
      <c r="U346" s="184"/>
      <c r="V346" s="201"/>
      <c r="W346" s="202"/>
      <c r="X346" s="202"/>
      <c r="Y346" s="202"/>
      <c r="Z346" s="202"/>
      <c r="AA346" s="202"/>
      <c r="AB346" s="202"/>
      <c r="AC346" s="202"/>
      <c r="AD346" s="203"/>
    </row>
    <row r="347" spans="2:30">
      <c r="B347" s="221"/>
      <c r="C347" s="221"/>
      <c r="D347" s="221"/>
      <c r="E347" s="184"/>
      <c r="F347" s="184"/>
      <c r="G347" s="184"/>
      <c r="H347" s="184"/>
      <c r="I347" s="184"/>
      <c r="J347" s="184"/>
      <c r="K347" s="184"/>
      <c r="L347" s="184"/>
      <c r="M347" s="184"/>
      <c r="N347" s="184"/>
      <c r="O347" s="184"/>
      <c r="P347" s="184"/>
      <c r="Q347" s="184"/>
      <c r="R347" s="184"/>
      <c r="S347" s="184"/>
      <c r="T347" s="184"/>
      <c r="U347" s="184"/>
      <c r="V347" s="195"/>
      <c r="W347" s="196"/>
      <c r="X347" s="196"/>
      <c r="Y347" s="196"/>
      <c r="Z347" s="196"/>
      <c r="AA347" s="196"/>
      <c r="AB347" s="196"/>
      <c r="AC347" s="196"/>
      <c r="AD347" s="197"/>
    </row>
    <row r="348" spans="2:30">
      <c r="B348" s="221"/>
      <c r="C348" s="221"/>
      <c r="D348" s="221"/>
      <c r="E348" s="184"/>
      <c r="F348" s="184"/>
      <c r="G348" s="184"/>
      <c r="H348" s="184"/>
      <c r="I348" s="184"/>
      <c r="J348" s="184"/>
      <c r="K348" s="184"/>
      <c r="L348" s="184"/>
      <c r="M348" s="184"/>
      <c r="N348" s="184"/>
      <c r="O348" s="184"/>
      <c r="P348" s="184"/>
      <c r="Q348" s="184"/>
      <c r="R348" s="184"/>
      <c r="S348" s="184"/>
      <c r="T348" s="184"/>
      <c r="U348" s="184"/>
      <c r="V348" s="201"/>
      <c r="W348" s="202"/>
      <c r="X348" s="202"/>
      <c r="Y348" s="202"/>
      <c r="Z348" s="202"/>
      <c r="AA348" s="202"/>
      <c r="AB348" s="202"/>
      <c r="AC348" s="202"/>
      <c r="AD348" s="203"/>
    </row>
    <row r="349" spans="2:30">
      <c r="B349" s="221"/>
      <c r="C349" s="221"/>
      <c r="D349" s="221"/>
      <c r="E349" s="184"/>
      <c r="F349" s="184"/>
      <c r="G349" s="184"/>
      <c r="H349" s="184"/>
      <c r="I349" s="184"/>
      <c r="J349" s="184"/>
      <c r="K349" s="184"/>
      <c r="L349" s="184"/>
      <c r="M349" s="184"/>
      <c r="N349" s="184"/>
      <c r="O349" s="184"/>
      <c r="P349" s="184"/>
      <c r="Q349" s="184"/>
      <c r="R349" s="184"/>
      <c r="S349" s="184"/>
      <c r="T349" s="184"/>
      <c r="U349" s="184"/>
      <c r="V349" s="195"/>
      <c r="W349" s="196"/>
      <c r="X349" s="196"/>
      <c r="Y349" s="196"/>
      <c r="Z349" s="196"/>
      <c r="AA349" s="196"/>
      <c r="AB349" s="196"/>
      <c r="AC349" s="196"/>
      <c r="AD349" s="197"/>
    </row>
    <row r="350" spans="2:30">
      <c r="B350" s="221"/>
      <c r="C350" s="221"/>
      <c r="D350" s="221"/>
      <c r="E350" s="184"/>
      <c r="F350" s="184"/>
      <c r="G350" s="184"/>
      <c r="H350" s="184"/>
      <c r="I350" s="184"/>
      <c r="J350" s="184"/>
      <c r="K350" s="184"/>
      <c r="L350" s="184"/>
      <c r="M350" s="184"/>
      <c r="N350" s="184"/>
      <c r="O350" s="184"/>
      <c r="P350" s="184"/>
      <c r="Q350" s="184"/>
      <c r="R350" s="184"/>
      <c r="S350" s="184"/>
      <c r="T350" s="184"/>
      <c r="U350" s="184"/>
      <c r="V350" s="201"/>
      <c r="W350" s="202"/>
      <c r="X350" s="202"/>
      <c r="Y350" s="202"/>
      <c r="Z350" s="202"/>
      <c r="AA350" s="202"/>
      <c r="AB350" s="202"/>
      <c r="AC350" s="202"/>
      <c r="AD350" s="203"/>
    </row>
    <row r="351" spans="2:30">
      <c r="B351" s="221"/>
      <c r="C351" s="221"/>
      <c r="D351" s="221"/>
      <c r="E351" s="184"/>
      <c r="F351" s="184"/>
      <c r="G351" s="184"/>
      <c r="H351" s="184"/>
      <c r="I351" s="184"/>
      <c r="J351" s="184"/>
      <c r="K351" s="184"/>
      <c r="L351" s="184"/>
      <c r="M351" s="184"/>
      <c r="N351" s="184"/>
      <c r="O351" s="184"/>
      <c r="P351" s="184"/>
      <c r="Q351" s="184"/>
      <c r="R351" s="184"/>
      <c r="S351" s="184"/>
      <c r="T351" s="184"/>
      <c r="U351" s="184"/>
      <c r="V351" s="195"/>
      <c r="W351" s="196"/>
      <c r="X351" s="196"/>
      <c r="Y351" s="196"/>
      <c r="Z351" s="196"/>
      <c r="AA351" s="196"/>
      <c r="AB351" s="196"/>
      <c r="AC351" s="196"/>
      <c r="AD351" s="197"/>
    </row>
    <row r="352" spans="2:30">
      <c r="B352" s="221"/>
      <c r="C352" s="221"/>
      <c r="D352" s="221"/>
      <c r="E352" s="184"/>
      <c r="F352" s="184"/>
      <c r="G352" s="184"/>
      <c r="H352" s="184"/>
      <c r="I352" s="184"/>
      <c r="J352" s="184"/>
      <c r="K352" s="184"/>
      <c r="L352" s="184"/>
      <c r="M352" s="184"/>
      <c r="N352" s="184"/>
      <c r="O352" s="184"/>
      <c r="P352" s="184"/>
      <c r="Q352" s="184"/>
      <c r="R352" s="184"/>
      <c r="S352" s="184"/>
      <c r="T352" s="184"/>
      <c r="U352" s="184"/>
      <c r="V352" s="201"/>
      <c r="W352" s="202"/>
      <c r="X352" s="202"/>
      <c r="Y352" s="202"/>
      <c r="Z352" s="202"/>
      <c r="AA352" s="202"/>
      <c r="AB352" s="202"/>
      <c r="AC352" s="202"/>
      <c r="AD352" s="203"/>
    </row>
    <row r="353" spans="2:30">
      <c r="B353" s="221"/>
      <c r="C353" s="221"/>
      <c r="D353" s="221"/>
      <c r="E353" s="184"/>
      <c r="F353" s="184"/>
      <c r="G353" s="184"/>
      <c r="H353" s="184"/>
      <c r="I353" s="184"/>
      <c r="J353" s="184"/>
      <c r="K353" s="184"/>
      <c r="L353" s="184"/>
      <c r="M353" s="184"/>
      <c r="N353" s="184"/>
      <c r="O353" s="184"/>
      <c r="P353" s="184"/>
      <c r="Q353" s="184"/>
      <c r="R353" s="184"/>
      <c r="S353" s="184"/>
      <c r="T353" s="184"/>
      <c r="U353" s="184"/>
      <c r="V353" s="195"/>
      <c r="W353" s="196"/>
      <c r="X353" s="196"/>
      <c r="Y353" s="196"/>
      <c r="Z353" s="196"/>
      <c r="AA353" s="196"/>
      <c r="AB353" s="196"/>
      <c r="AC353" s="196"/>
      <c r="AD353" s="197"/>
    </row>
    <row r="354" spans="2:30">
      <c r="B354" s="221"/>
      <c r="C354" s="221"/>
      <c r="D354" s="221"/>
      <c r="E354" s="184"/>
      <c r="F354" s="184"/>
      <c r="G354" s="184"/>
      <c r="H354" s="184"/>
      <c r="I354" s="184"/>
      <c r="J354" s="184"/>
      <c r="K354" s="184"/>
      <c r="L354" s="184"/>
      <c r="M354" s="184"/>
      <c r="N354" s="184"/>
      <c r="O354" s="184"/>
      <c r="P354" s="184"/>
      <c r="Q354" s="184"/>
      <c r="R354" s="184"/>
      <c r="S354" s="184"/>
      <c r="T354" s="184"/>
      <c r="U354" s="184"/>
      <c r="V354" s="201"/>
      <c r="W354" s="202"/>
      <c r="X354" s="202"/>
      <c r="Y354" s="202"/>
      <c r="Z354" s="202"/>
      <c r="AA354" s="202"/>
      <c r="AB354" s="202"/>
      <c r="AC354" s="202"/>
      <c r="AD354" s="203"/>
    </row>
    <row r="355" spans="2:30">
      <c r="B355" s="221"/>
      <c r="C355" s="221"/>
      <c r="D355" s="221"/>
      <c r="E355" s="184"/>
      <c r="F355" s="184"/>
      <c r="G355" s="184"/>
      <c r="H355" s="184"/>
      <c r="I355" s="184"/>
      <c r="J355" s="184"/>
      <c r="K355" s="184"/>
      <c r="L355" s="184"/>
      <c r="M355" s="184"/>
      <c r="N355" s="184"/>
      <c r="O355" s="184"/>
      <c r="P355" s="184"/>
      <c r="Q355" s="184"/>
      <c r="R355" s="184"/>
      <c r="S355" s="184"/>
      <c r="T355" s="184"/>
      <c r="U355" s="184"/>
      <c r="V355" s="195"/>
      <c r="W355" s="196"/>
      <c r="X355" s="196"/>
      <c r="Y355" s="196"/>
      <c r="Z355" s="196"/>
      <c r="AA355" s="196"/>
      <c r="AB355" s="196"/>
      <c r="AC355" s="196"/>
      <c r="AD355" s="197"/>
    </row>
    <row r="356" spans="2:30">
      <c r="B356" s="221"/>
      <c r="C356" s="221"/>
      <c r="D356" s="221"/>
      <c r="E356" s="184"/>
      <c r="F356" s="184"/>
      <c r="G356" s="184"/>
      <c r="H356" s="184"/>
      <c r="I356" s="184"/>
      <c r="J356" s="184"/>
      <c r="K356" s="184"/>
      <c r="L356" s="184"/>
      <c r="M356" s="184"/>
      <c r="N356" s="184"/>
      <c r="O356" s="184"/>
      <c r="P356" s="184"/>
      <c r="Q356" s="184"/>
      <c r="R356" s="184"/>
      <c r="S356" s="184"/>
      <c r="T356" s="184"/>
      <c r="U356" s="184"/>
      <c r="V356" s="201"/>
      <c r="W356" s="202"/>
      <c r="X356" s="202"/>
      <c r="Y356" s="202"/>
      <c r="Z356" s="202"/>
      <c r="AA356" s="202"/>
      <c r="AB356" s="202"/>
      <c r="AC356" s="202"/>
      <c r="AD356" s="203"/>
    </row>
    <row r="357" spans="2:30">
      <c r="B357" s="221"/>
      <c r="C357" s="221"/>
      <c r="D357" s="221"/>
      <c r="E357" s="184"/>
      <c r="F357" s="184"/>
      <c r="G357" s="184"/>
      <c r="H357" s="184"/>
      <c r="I357" s="184"/>
      <c r="J357" s="184"/>
      <c r="K357" s="184"/>
      <c r="L357" s="184"/>
      <c r="M357" s="184"/>
      <c r="N357" s="184"/>
      <c r="O357" s="184"/>
      <c r="P357" s="184"/>
      <c r="Q357" s="184"/>
      <c r="R357" s="184"/>
      <c r="S357" s="184"/>
      <c r="T357" s="184"/>
      <c r="U357" s="184"/>
      <c r="V357" s="195"/>
      <c r="W357" s="196"/>
      <c r="X357" s="196"/>
      <c r="Y357" s="196"/>
      <c r="Z357" s="196"/>
      <c r="AA357" s="196"/>
      <c r="AB357" s="196"/>
      <c r="AC357" s="196"/>
      <c r="AD357" s="197"/>
    </row>
    <row r="358" spans="2:30">
      <c r="B358" s="221"/>
      <c r="C358" s="221"/>
      <c r="D358" s="221"/>
      <c r="E358" s="184"/>
      <c r="F358" s="184"/>
      <c r="G358" s="184"/>
      <c r="H358" s="184"/>
      <c r="I358" s="184"/>
      <c r="J358" s="184"/>
      <c r="K358" s="184"/>
      <c r="L358" s="184"/>
      <c r="M358" s="184"/>
      <c r="N358" s="184"/>
      <c r="O358" s="184"/>
      <c r="P358" s="184"/>
      <c r="Q358" s="184"/>
      <c r="R358" s="184"/>
      <c r="S358" s="184"/>
      <c r="T358" s="184"/>
      <c r="U358" s="184"/>
      <c r="V358" s="201"/>
      <c r="W358" s="202"/>
      <c r="X358" s="202"/>
      <c r="Y358" s="202"/>
      <c r="Z358" s="202"/>
      <c r="AA358" s="202"/>
      <c r="AB358" s="202"/>
      <c r="AC358" s="202"/>
      <c r="AD358" s="203"/>
    </row>
    <row r="359" spans="2:30">
      <c r="C359" s="22" t="str">
        <f>C71</f>
        <v>(様式-販売-１)Rev.2025.05.20</v>
      </c>
      <c r="Y359" s="285" t="s">
        <v>418</v>
      </c>
      <c r="Z359" s="285"/>
      <c r="AA359" s="285"/>
      <c r="AB359" s="285"/>
      <c r="AC359" s="285"/>
      <c r="AD359" s="285"/>
    </row>
    <row r="360" spans="2:30">
      <c r="B360" s="22" t="s">
        <v>417</v>
      </c>
      <c r="Y360" s="286"/>
      <c r="Z360" s="286"/>
      <c r="AA360" s="286"/>
      <c r="AB360" s="286"/>
      <c r="AC360" s="286"/>
      <c r="AD360" s="286"/>
    </row>
  </sheetData>
  <mergeCells count="955">
    <mergeCell ref="Y359:AD360"/>
    <mergeCell ref="B355:D356"/>
    <mergeCell ref="E355:K356"/>
    <mergeCell ref="L355:M356"/>
    <mergeCell ref="N355:Q356"/>
    <mergeCell ref="R355:U356"/>
    <mergeCell ref="V355:AD356"/>
    <mergeCell ref="B357:D358"/>
    <mergeCell ref="E357:K358"/>
    <mergeCell ref="L357:M358"/>
    <mergeCell ref="N357:Q358"/>
    <mergeCell ref="R357:U358"/>
    <mergeCell ref="V357:AD358"/>
    <mergeCell ref="B351:D352"/>
    <mergeCell ref="E351:K352"/>
    <mergeCell ref="L351:M352"/>
    <mergeCell ref="N351:Q352"/>
    <mergeCell ref="R351:U352"/>
    <mergeCell ref="V351:AD352"/>
    <mergeCell ref="B353:D354"/>
    <mergeCell ref="E353:K354"/>
    <mergeCell ref="L353:M354"/>
    <mergeCell ref="N353:Q354"/>
    <mergeCell ref="R353:U354"/>
    <mergeCell ref="V353:AD354"/>
    <mergeCell ref="B347:D348"/>
    <mergeCell ref="E347:K348"/>
    <mergeCell ref="L347:M348"/>
    <mergeCell ref="N347:Q348"/>
    <mergeCell ref="R347:U348"/>
    <mergeCell ref="V347:AD348"/>
    <mergeCell ref="B349:D350"/>
    <mergeCell ref="E349:K350"/>
    <mergeCell ref="L349:M350"/>
    <mergeCell ref="N349:Q350"/>
    <mergeCell ref="R349:U350"/>
    <mergeCell ref="V349:AD350"/>
    <mergeCell ref="B343:D344"/>
    <mergeCell ref="E343:K344"/>
    <mergeCell ref="L343:M344"/>
    <mergeCell ref="N343:Q344"/>
    <mergeCell ref="R343:U344"/>
    <mergeCell ref="V343:AD344"/>
    <mergeCell ref="B345:D346"/>
    <mergeCell ref="E345:K346"/>
    <mergeCell ref="L345:M346"/>
    <mergeCell ref="N345:Q346"/>
    <mergeCell ref="R345:U346"/>
    <mergeCell ref="V345:AD346"/>
    <mergeCell ref="B339:D340"/>
    <mergeCell ref="E339:K340"/>
    <mergeCell ref="L339:M340"/>
    <mergeCell ref="N339:Q340"/>
    <mergeCell ref="R339:U340"/>
    <mergeCell ref="V339:AD340"/>
    <mergeCell ref="B341:D342"/>
    <mergeCell ref="E341:K342"/>
    <mergeCell ref="L341:M342"/>
    <mergeCell ref="N341:Q342"/>
    <mergeCell ref="R341:U342"/>
    <mergeCell ref="V341:AD342"/>
    <mergeCell ref="B335:D336"/>
    <mergeCell ref="E335:K336"/>
    <mergeCell ref="L335:M336"/>
    <mergeCell ref="N335:Q336"/>
    <mergeCell ref="R335:U336"/>
    <mergeCell ref="V335:AD336"/>
    <mergeCell ref="B337:D338"/>
    <mergeCell ref="E337:K338"/>
    <mergeCell ref="L337:M338"/>
    <mergeCell ref="N337:Q338"/>
    <mergeCell ref="R337:U338"/>
    <mergeCell ref="V337:AD338"/>
    <mergeCell ref="B331:D332"/>
    <mergeCell ref="E331:K332"/>
    <mergeCell ref="L331:M332"/>
    <mergeCell ref="N331:Q332"/>
    <mergeCell ref="R331:U332"/>
    <mergeCell ref="V331:AD332"/>
    <mergeCell ref="B333:D334"/>
    <mergeCell ref="E333:K334"/>
    <mergeCell ref="L333:M334"/>
    <mergeCell ref="N333:Q334"/>
    <mergeCell ref="R333:U334"/>
    <mergeCell ref="V333:AD334"/>
    <mergeCell ref="B327:D328"/>
    <mergeCell ref="E327:K328"/>
    <mergeCell ref="L327:M328"/>
    <mergeCell ref="N327:Q328"/>
    <mergeCell ref="R327:U328"/>
    <mergeCell ref="V327:AD328"/>
    <mergeCell ref="B329:D330"/>
    <mergeCell ref="E329:K330"/>
    <mergeCell ref="L329:M330"/>
    <mergeCell ref="N329:Q330"/>
    <mergeCell ref="R329:U330"/>
    <mergeCell ref="V329:AD330"/>
    <mergeCell ref="B323:D324"/>
    <mergeCell ref="E323:K324"/>
    <mergeCell ref="L323:M324"/>
    <mergeCell ref="N323:Q324"/>
    <mergeCell ref="R323:U324"/>
    <mergeCell ref="V323:AD324"/>
    <mergeCell ref="B325:D326"/>
    <mergeCell ref="E325:K326"/>
    <mergeCell ref="L325:M326"/>
    <mergeCell ref="N325:Q326"/>
    <mergeCell ref="R325:U326"/>
    <mergeCell ref="V325:AD326"/>
    <mergeCell ref="B319:D320"/>
    <mergeCell ref="E319:K320"/>
    <mergeCell ref="L319:M320"/>
    <mergeCell ref="N319:Q320"/>
    <mergeCell ref="R319:U320"/>
    <mergeCell ref="V319:AD320"/>
    <mergeCell ref="B321:D322"/>
    <mergeCell ref="E321:K322"/>
    <mergeCell ref="L321:M322"/>
    <mergeCell ref="N321:Q322"/>
    <mergeCell ref="R321:U322"/>
    <mergeCell ref="V321:AD322"/>
    <mergeCell ref="B315:D316"/>
    <mergeCell ref="E315:K316"/>
    <mergeCell ref="L315:M316"/>
    <mergeCell ref="N315:Q316"/>
    <mergeCell ref="R315:U316"/>
    <mergeCell ref="V315:AD316"/>
    <mergeCell ref="B317:D318"/>
    <mergeCell ref="E317:K318"/>
    <mergeCell ref="L317:M318"/>
    <mergeCell ref="N317:Q318"/>
    <mergeCell ref="R317:U318"/>
    <mergeCell ref="V317:AD318"/>
    <mergeCell ref="B311:D312"/>
    <mergeCell ref="E311:K312"/>
    <mergeCell ref="L311:M312"/>
    <mergeCell ref="N311:Q312"/>
    <mergeCell ref="R311:U312"/>
    <mergeCell ref="V311:AD312"/>
    <mergeCell ref="B313:D314"/>
    <mergeCell ref="E313:K314"/>
    <mergeCell ref="L313:M314"/>
    <mergeCell ref="N313:Q314"/>
    <mergeCell ref="R313:U314"/>
    <mergeCell ref="V313:AD314"/>
    <mergeCell ref="B307:D308"/>
    <mergeCell ref="E307:K308"/>
    <mergeCell ref="L307:M308"/>
    <mergeCell ref="N307:Q308"/>
    <mergeCell ref="R307:U308"/>
    <mergeCell ref="V307:AD308"/>
    <mergeCell ref="B309:D310"/>
    <mergeCell ref="E309:K310"/>
    <mergeCell ref="L309:M310"/>
    <mergeCell ref="N309:Q310"/>
    <mergeCell ref="R309:U310"/>
    <mergeCell ref="V309:AD310"/>
    <mergeCell ref="B303:D304"/>
    <mergeCell ref="E303:K304"/>
    <mergeCell ref="L303:M304"/>
    <mergeCell ref="N303:Q304"/>
    <mergeCell ref="R303:U304"/>
    <mergeCell ref="V303:AD304"/>
    <mergeCell ref="B305:D306"/>
    <mergeCell ref="E305:K306"/>
    <mergeCell ref="L305:M306"/>
    <mergeCell ref="N305:Q306"/>
    <mergeCell ref="R305:U306"/>
    <mergeCell ref="V305:AD306"/>
    <mergeCell ref="B299:D300"/>
    <mergeCell ref="E299:K300"/>
    <mergeCell ref="L299:M300"/>
    <mergeCell ref="N299:Q300"/>
    <mergeCell ref="R299:U300"/>
    <mergeCell ref="V299:AD300"/>
    <mergeCell ref="B301:D302"/>
    <mergeCell ref="E301:K302"/>
    <mergeCell ref="L301:M302"/>
    <mergeCell ref="N301:Q302"/>
    <mergeCell ref="R301:U302"/>
    <mergeCell ref="V301:AD302"/>
    <mergeCell ref="B293:K296"/>
    <mergeCell ref="L293:M296"/>
    <mergeCell ref="N293:U294"/>
    <mergeCell ref="V293:AD296"/>
    <mergeCell ref="N295:Q296"/>
    <mergeCell ref="R295:U296"/>
    <mergeCell ref="F291:AD291"/>
    <mergeCell ref="B297:D298"/>
    <mergeCell ref="E297:K298"/>
    <mergeCell ref="L297:M298"/>
    <mergeCell ref="N297:Q298"/>
    <mergeCell ref="R297:U298"/>
    <mergeCell ref="V297:AD298"/>
    <mergeCell ref="B286:D287"/>
    <mergeCell ref="E286:K287"/>
    <mergeCell ref="L286:M287"/>
    <mergeCell ref="N286:Q287"/>
    <mergeCell ref="R286:U287"/>
    <mergeCell ref="V286:AD287"/>
    <mergeCell ref="Y288:AD289"/>
    <mergeCell ref="D291:E291"/>
    <mergeCell ref="AC292:AD292"/>
    <mergeCell ref="B282:D283"/>
    <mergeCell ref="E282:K283"/>
    <mergeCell ref="L282:M283"/>
    <mergeCell ref="N282:Q283"/>
    <mergeCell ref="R282:U283"/>
    <mergeCell ref="V282:AD283"/>
    <mergeCell ref="B284:D285"/>
    <mergeCell ref="E284:K285"/>
    <mergeCell ref="L284:M285"/>
    <mergeCell ref="N284:Q285"/>
    <mergeCell ref="R284:U285"/>
    <mergeCell ref="V284:AD285"/>
    <mergeCell ref="B278:D279"/>
    <mergeCell ref="E278:K279"/>
    <mergeCell ref="L278:M279"/>
    <mergeCell ref="N278:Q279"/>
    <mergeCell ref="R278:U279"/>
    <mergeCell ref="V278:AD279"/>
    <mergeCell ref="B280:D281"/>
    <mergeCell ref="E280:K281"/>
    <mergeCell ref="L280:M281"/>
    <mergeCell ref="N280:Q281"/>
    <mergeCell ref="R280:U281"/>
    <mergeCell ref="V280:AD281"/>
    <mergeCell ref="B274:D275"/>
    <mergeCell ref="E274:K275"/>
    <mergeCell ref="L274:M275"/>
    <mergeCell ref="N274:Q275"/>
    <mergeCell ref="R274:U275"/>
    <mergeCell ref="V274:AD275"/>
    <mergeCell ref="B276:D277"/>
    <mergeCell ref="E276:K277"/>
    <mergeCell ref="L276:M277"/>
    <mergeCell ref="N276:Q277"/>
    <mergeCell ref="R276:U277"/>
    <mergeCell ref="V276:AD277"/>
    <mergeCell ref="B270:D271"/>
    <mergeCell ref="E270:K271"/>
    <mergeCell ref="L270:M271"/>
    <mergeCell ref="N270:Q271"/>
    <mergeCell ref="R270:U271"/>
    <mergeCell ref="V270:AD271"/>
    <mergeCell ref="B272:D273"/>
    <mergeCell ref="E272:K273"/>
    <mergeCell ref="L272:M273"/>
    <mergeCell ref="N272:Q273"/>
    <mergeCell ref="R272:U273"/>
    <mergeCell ref="V272:AD273"/>
    <mergeCell ref="B266:D267"/>
    <mergeCell ref="E266:K267"/>
    <mergeCell ref="L266:M267"/>
    <mergeCell ref="N266:Q267"/>
    <mergeCell ref="R266:U267"/>
    <mergeCell ref="V266:AD267"/>
    <mergeCell ref="B268:D269"/>
    <mergeCell ref="E268:K269"/>
    <mergeCell ref="L268:M269"/>
    <mergeCell ref="N268:Q269"/>
    <mergeCell ref="R268:U269"/>
    <mergeCell ref="V268:AD269"/>
    <mergeCell ref="B262:D263"/>
    <mergeCell ref="E262:K263"/>
    <mergeCell ref="L262:M263"/>
    <mergeCell ref="N262:Q263"/>
    <mergeCell ref="R262:U263"/>
    <mergeCell ref="V262:AD263"/>
    <mergeCell ref="B264:D265"/>
    <mergeCell ref="E264:K265"/>
    <mergeCell ref="L264:M265"/>
    <mergeCell ref="N264:Q265"/>
    <mergeCell ref="R264:U265"/>
    <mergeCell ref="V264:AD265"/>
    <mergeCell ref="B258:D259"/>
    <mergeCell ref="E258:K259"/>
    <mergeCell ref="L258:M259"/>
    <mergeCell ref="N258:Q259"/>
    <mergeCell ref="R258:U259"/>
    <mergeCell ref="V258:AD259"/>
    <mergeCell ref="B260:D261"/>
    <mergeCell ref="E260:K261"/>
    <mergeCell ref="L260:M261"/>
    <mergeCell ref="N260:Q261"/>
    <mergeCell ref="R260:U261"/>
    <mergeCell ref="V260:AD261"/>
    <mergeCell ref="B254:D255"/>
    <mergeCell ref="E254:K255"/>
    <mergeCell ref="L254:M255"/>
    <mergeCell ref="N254:Q255"/>
    <mergeCell ref="R254:U255"/>
    <mergeCell ref="V254:AD255"/>
    <mergeCell ref="B256:D257"/>
    <mergeCell ref="E256:K257"/>
    <mergeCell ref="L256:M257"/>
    <mergeCell ref="N256:Q257"/>
    <mergeCell ref="R256:U257"/>
    <mergeCell ref="V256:AD257"/>
    <mergeCell ref="B250:D251"/>
    <mergeCell ref="E250:K251"/>
    <mergeCell ref="L250:M251"/>
    <mergeCell ref="N250:Q251"/>
    <mergeCell ref="R250:U251"/>
    <mergeCell ref="V250:AD251"/>
    <mergeCell ref="B252:D253"/>
    <mergeCell ref="E252:K253"/>
    <mergeCell ref="L252:M253"/>
    <mergeCell ref="N252:Q253"/>
    <mergeCell ref="R252:U253"/>
    <mergeCell ref="V252:AD253"/>
    <mergeCell ref="B246:D247"/>
    <mergeCell ref="E246:K247"/>
    <mergeCell ref="L246:M247"/>
    <mergeCell ref="N246:Q247"/>
    <mergeCell ref="R246:U247"/>
    <mergeCell ref="V246:AD247"/>
    <mergeCell ref="B248:D249"/>
    <mergeCell ref="E248:K249"/>
    <mergeCell ref="L248:M249"/>
    <mergeCell ref="N248:Q249"/>
    <mergeCell ref="R248:U249"/>
    <mergeCell ref="V248:AD249"/>
    <mergeCell ref="B242:D243"/>
    <mergeCell ref="E242:K243"/>
    <mergeCell ref="L242:M243"/>
    <mergeCell ref="N242:Q243"/>
    <mergeCell ref="R242:U243"/>
    <mergeCell ref="V242:AD243"/>
    <mergeCell ref="B244:D245"/>
    <mergeCell ref="E244:K245"/>
    <mergeCell ref="L244:M245"/>
    <mergeCell ref="N244:Q245"/>
    <mergeCell ref="R244:U245"/>
    <mergeCell ref="V244:AD245"/>
    <mergeCell ref="B238:D239"/>
    <mergeCell ref="E238:K239"/>
    <mergeCell ref="L238:M239"/>
    <mergeCell ref="N238:Q239"/>
    <mergeCell ref="R238:U239"/>
    <mergeCell ref="V238:AD239"/>
    <mergeCell ref="B240:D241"/>
    <mergeCell ref="E240:K241"/>
    <mergeCell ref="L240:M241"/>
    <mergeCell ref="N240:Q241"/>
    <mergeCell ref="R240:U241"/>
    <mergeCell ref="V240:AD241"/>
    <mergeCell ref="B234:D235"/>
    <mergeCell ref="E234:K235"/>
    <mergeCell ref="L234:M235"/>
    <mergeCell ref="N234:Q235"/>
    <mergeCell ref="R234:U235"/>
    <mergeCell ref="V234:AD235"/>
    <mergeCell ref="B236:D237"/>
    <mergeCell ref="E236:K237"/>
    <mergeCell ref="L236:M237"/>
    <mergeCell ref="N236:Q237"/>
    <mergeCell ref="R236:U237"/>
    <mergeCell ref="V236:AD237"/>
    <mergeCell ref="B230:D231"/>
    <mergeCell ref="E230:K231"/>
    <mergeCell ref="L230:M231"/>
    <mergeCell ref="N230:Q231"/>
    <mergeCell ref="R230:U231"/>
    <mergeCell ref="V230:AD231"/>
    <mergeCell ref="B232:D233"/>
    <mergeCell ref="E232:K233"/>
    <mergeCell ref="L232:M233"/>
    <mergeCell ref="N232:Q233"/>
    <mergeCell ref="R232:U233"/>
    <mergeCell ref="V232:AD233"/>
    <mergeCell ref="B226:D227"/>
    <mergeCell ref="E226:K227"/>
    <mergeCell ref="L226:M227"/>
    <mergeCell ref="N226:Q227"/>
    <mergeCell ref="R226:U227"/>
    <mergeCell ref="V226:AD227"/>
    <mergeCell ref="B228:D229"/>
    <mergeCell ref="E228:K229"/>
    <mergeCell ref="L228:M229"/>
    <mergeCell ref="N228:Q229"/>
    <mergeCell ref="R228:U229"/>
    <mergeCell ref="V228:AD229"/>
    <mergeCell ref="AC219:AD219"/>
    <mergeCell ref="B220:K223"/>
    <mergeCell ref="L220:M223"/>
    <mergeCell ref="N220:U221"/>
    <mergeCell ref="V220:AD223"/>
    <mergeCell ref="N222:Q223"/>
    <mergeCell ref="R222:U223"/>
    <mergeCell ref="B224:D225"/>
    <mergeCell ref="E224:K225"/>
    <mergeCell ref="L224:M225"/>
    <mergeCell ref="N224:Q225"/>
    <mergeCell ref="R224:U225"/>
    <mergeCell ref="V224:AD225"/>
    <mergeCell ref="B213:D214"/>
    <mergeCell ref="E213:K214"/>
    <mergeCell ref="L213:M214"/>
    <mergeCell ref="N213:Q214"/>
    <mergeCell ref="R213:U214"/>
    <mergeCell ref="V213:AD214"/>
    <mergeCell ref="Y215:AD216"/>
    <mergeCell ref="D218:E218"/>
    <mergeCell ref="F218:AB218"/>
    <mergeCell ref="B209:D210"/>
    <mergeCell ref="E209:K210"/>
    <mergeCell ref="L209:M210"/>
    <mergeCell ref="N209:Q210"/>
    <mergeCell ref="R209:U210"/>
    <mergeCell ref="V209:AD210"/>
    <mergeCell ref="B211:D212"/>
    <mergeCell ref="E211:K212"/>
    <mergeCell ref="L211:M212"/>
    <mergeCell ref="N211:Q212"/>
    <mergeCell ref="R211:U212"/>
    <mergeCell ref="V211:AD212"/>
    <mergeCell ref="B205:D206"/>
    <mergeCell ref="E205:K206"/>
    <mergeCell ref="L205:M206"/>
    <mergeCell ref="N205:Q206"/>
    <mergeCell ref="R205:U206"/>
    <mergeCell ref="V205:AD206"/>
    <mergeCell ref="B207:D208"/>
    <mergeCell ref="E207:K208"/>
    <mergeCell ref="L207:M208"/>
    <mergeCell ref="N207:Q208"/>
    <mergeCell ref="R207:U208"/>
    <mergeCell ref="V207:AD208"/>
    <mergeCell ref="B201:D202"/>
    <mergeCell ref="E201:K202"/>
    <mergeCell ref="L201:M202"/>
    <mergeCell ref="N201:Q202"/>
    <mergeCell ref="R201:U202"/>
    <mergeCell ref="V201:AD202"/>
    <mergeCell ref="B203:D204"/>
    <mergeCell ref="E203:K204"/>
    <mergeCell ref="L203:M204"/>
    <mergeCell ref="N203:Q204"/>
    <mergeCell ref="R203:U204"/>
    <mergeCell ref="V203:AD204"/>
    <mergeCell ref="B197:D198"/>
    <mergeCell ref="E197:K198"/>
    <mergeCell ref="L197:M198"/>
    <mergeCell ref="N197:Q198"/>
    <mergeCell ref="R197:U198"/>
    <mergeCell ref="V197:AD198"/>
    <mergeCell ref="B199:D200"/>
    <mergeCell ref="E199:K200"/>
    <mergeCell ref="L199:M200"/>
    <mergeCell ref="N199:Q200"/>
    <mergeCell ref="R199:U200"/>
    <mergeCell ref="V199:AD200"/>
    <mergeCell ref="B193:D194"/>
    <mergeCell ref="E193:K194"/>
    <mergeCell ref="L193:M194"/>
    <mergeCell ref="N193:Q194"/>
    <mergeCell ref="R193:U194"/>
    <mergeCell ref="V193:AD194"/>
    <mergeCell ref="B195:D196"/>
    <mergeCell ref="E195:K196"/>
    <mergeCell ref="L195:M196"/>
    <mergeCell ref="N195:Q196"/>
    <mergeCell ref="R195:U196"/>
    <mergeCell ref="V195:AD196"/>
    <mergeCell ref="B189:D190"/>
    <mergeCell ref="E189:K190"/>
    <mergeCell ref="L189:M190"/>
    <mergeCell ref="N189:Q190"/>
    <mergeCell ref="R189:U190"/>
    <mergeCell ref="V189:AD190"/>
    <mergeCell ref="B191:D192"/>
    <mergeCell ref="E191:K192"/>
    <mergeCell ref="L191:M192"/>
    <mergeCell ref="N191:Q192"/>
    <mergeCell ref="R191:U192"/>
    <mergeCell ref="V191:AD192"/>
    <mergeCell ref="B185:D186"/>
    <mergeCell ref="E185:K186"/>
    <mergeCell ref="L185:M186"/>
    <mergeCell ref="N185:Q186"/>
    <mergeCell ref="R185:U186"/>
    <mergeCell ref="V185:AD186"/>
    <mergeCell ref="B187:D188"/>
    <mergeCell ref="E187:K188"/>
    <mergeCell ref="L187:M188"/>
    <mergeCell ref="N187:Q188"/>
    <mergeCell ref="R187:U188"/>
    <mergeCell ref="V187:AD188"/>
    <mergeCell ref="B181:D182"/>
    <mergeCell ref="E181:K182"/>
    <mergeCell ref="L181:M182"/>
    <mergeCell ref="N181:Q182"/>
    <mergeCell ref="R181:U182"/>
    <mergeCell ref="V181:AD182"/>
    <mergeCell ref="B183:D184"/>
    <mergeCell ref="E183:K184"/>
    <mergeCell ref="L183:M184"/>
    <mergeCell ref="N183:Q184"/>
    <mergeCell ref="R183:U184"/>
    <mergeCell ref="V183:AD184"/>
    <mergeCell ref="B177:D178"/>
    <mergeCell ref="E177:K178"/>
    <mergeCell ref="L177:M178"/>
    <mergeCell ref="N177:Q178"/>
    <mergeCell ref="R177:U178"/>
    <mergeCell ref="V177:AD178"/>
    <mergeCell ref="B179:D180"/>
    <mergeCell ref="E179:K180"/>
    <mergeCell ref="L179:M180"/>
    <mergeCell ref="N179:Q180"/>
    <mergeCell ref="R179:U180"/>
    <mergeCell ref="V179:AD180"/>
    <mergeCell ref="B173:D174"/>
    <mergeCell ref="E173:K174"/>
    <mergeCell ref="L173:M174"/>
    <mergeCell ref="N173:Q174"/>
    <mergeCell ref="R173:U174"/>
    <mergeCell ref="V173:AD174"/>
    <mergeCell ref="B175:D176"/>
    <mergeCell ref="E175:K176"/>
    <mergeCell ref="L175:M176"/>
    <mergeCell ref="N175:Q176"/>
    <mergeCell ref="R175:U176"/>
    <mergeCell ref="V175:AD176"/>
    <mergeCell ref="B169:D170"/>
    <mergeCell ref="E169:K170"/>
    <mergeCell ref="L169:M170"/>
    <mergeCell ref="N169:Q170"/>
    <mergeCell ref="R169:U170"/>
    <mergeCell ref="V169:AD170"/>
    <mergeCell ref="B171:D172"/>
    <mergeCell ref="E171:K172"/>
    <mergeCell ref="L171:M172"/>
    <mergeCell ref="N171:Q172"/>
    <mergeCell ref="R171:U172"/>
    <mergeCell ref="V171:AD172"/>
    <mergeCell ref="B165:D166"/>
    <mergeCell ref="E165:K166"/>
    <mergeCell ref="L165:M166"/>
    <mergeCell ref="N165:Q166"/>
    <mergeCell ref="R165:U166"/>
    <mergeCell ref="V165:AD166"/>
    <mergeCell ref="B167:D168"/>
    <mergeCell ref="E167:K168"/>
    <mergeCell ref="L167:M168"/>
    <mergeCell ref="N167:Q168"/>
    <mergeCell ref="R167:U168"/>
    <mergeCell ref="V167:AD168"/>
    <mergeCell ref="B161:D162"/>
    <mergeCell ref="E161:K162"/>
    <mergeCell ref="L161:M162"/>
    <mergeCell ref="N161:Q162"/>
    <mergeCell ref="R161:U162"/>
    <mergeCell ref="V161:AD162"/>
    <mergeCell ref="B163:D164"/>
    <mergeCell ref="E163:K164"/>
    <mergeCell ref="L163:M164"/>
    <mergeCell ref="N163:Q164"/>
    <mergeCell ref="R163:U164"/>
    <mergeCell ref="V163:AD164"/>
    <mergeCell ref="B155:K158"/>
    <mergeCell ref="L155:M158"/>
    <mergeCell ref="N155:U156"/>
    <mergeCell ref="V155:AD158"/>
    <mergeCell ref="N157:Q158"/>
    <mergeCell ref="R157:U158"/>
    <mergeCell ref="B150:H153"/>
    <mergeCell ref="B159:K160"/>
    <mergeCell ref="L159:M160"/>
    <mergeCell ref="N159:Q160"/>
    <mergeCell ref="R159:U160"/>
    <mergeCell ref="V159:AD160"/>
    <mergeCell ref="I150:I153"/>
    <mergeCell ref="J150:L153"/>
    <mergeCell ref="M150:M153"/>
    <mergeCell ref="N150:P153"/>
    <mergeCell ref="W150:W153"/>
    <mergeCell ref="Y143:AD144"/>
    <mergeCell ref="X150:Z153"/>
    <mergeCell ref="AA150:AA153"/>
    <mergeCell ref="AB150:AD153"/>
    <mergeCell ref="C146:E146"/>
    <mergeCell ref="F146:Z146"/>
    <mergeCell ref="AC147:AD147"/>
    <mergeCell ref="B148:P149"/>
    <mergeCell ref="W148:AD149"/>
    <mergeCell ref="R141:U142"/>
    <mergeCell ref="B137:D138"/>
    <mergeCell ref="E137:K138"/>
    <mergeCell ref="L137:M138"/>
    <mergeCell ref="N137:Q138"/>
    <mergeCell ref="R137:U138"/>
    <mergeCell ref="V137:AD138"/>
    <mergeCell ref="V141:AD142"/>
    <mergeCell ref="B139:D140"/>
    <mergeCell ref="E139:K140"/>
    <mergeCell ref="L139:M140"/>
    <mergeCell ref="N139:Q140"/>
    <mergeCell ref="R139:U140"/>
    <mergeCell ref="V139:AD140"/>
    <mergeCell ref="B141:D142"/>
    <mergeCell ref="E141:K142"/>
    <mergeCell ref="L141:M142"/>
    <mergeCell ref="N141:Q142"/>
    <mergeCell ref="B129:D130"/>
    <mergeCell ref="E129:K130"/>
    <mergeCell ref="L129:M130"/>
    <mergeCell ref="N129:Q130"/>
    <mergeCell ref="R129:U130"/>
    <mergeCell ref="V129:AD130"/>
    <mergeCell ref="B131:D132"/>
    <mergeCell ref="E131:K132"/>
    <mergeCell ref="L131:M132"/>
    <mergeCell ref="N131:Q132"/>
    <mergeCell ref="R131:U132"/>
    <mergeCell ref="V131:AD132"/>
    <mergeCell ref="B133:D134"/>
    <mergeCell ref="E133:K134"/>
    <mergeCell ref="L133:M134"/>
    <mergeCell ref="N133:Q134"/>
    <mergeCell ref="R133:U134"/>
    <mergeCell ref="V133:AD134"/>
    <mergeCell ref="B135:D136"/>
    <mergeCell ref="E135:K136"/>
    <mergeCell ref="L135:M136"/>
    <mergeCell ref="N135:Q136"/>
    <mergeCell ref="R135:U136"/>
    <mergeCell ref="V135:AD136"/>
    <mergeCell ref="B125:D126"/>
    <mergeCell ref="E125:K126"/>
    <mergeCell ref="L125:M126"/>
    <mergeCell ref="N125:Q126"/>
    <mergeCell ref="R125:U126"/>
    <mergeCell ref="V125:AD126"/>
    <mergeCell ref="B127:D128"/>
    <mergeCell ref="E127:K128"/>
    <mergeCell ref="L127:M128"/>
    <mergeCell ref="N127:Q128"/>
    <mergeCell ref="R127:U128"/>
    <mergeCell ref="V127:AD128"/>
    <mergeCell ref="B121:D122"/>
    <mergeCell ref="E121:K122"/>
    <mergeCell ref="L121:M122"/>
    <mergeCell ref="N121:Q122"/>
    <mergeCell ref="R121:U122"/>
    <mergeCell ref="V121:AD122"/>
    <mergeCell ref="B123:D124"/>
    <mergeCell ref="E123:K124"/>
    <mergeCell ref="L123:M124"/>
    <mergeCell ref="N123:Q124"/>
    <mergeCell ref="R123:U124"/>
    <mergeCell ref="V123:AD124"/>
    <mergeCell ref="B117:D118"/>
    <mergeCell ref="E117:K118"/>
    <mergeCell ref="L117:M118"/>
    <mergeCell ref="N117:Q118"/>
    <mergeCell ref="R117:U118"/>
    <mergeCell ref="V117:AD118"/>
    <mergeCell ref="B119:D120"/>
    <mergeCell ref="E119:K120"/>
    <mergeCell ref="L119:M120"/>
    <mergeCell ref="N119:Q120"/>
    <mergeCell ref="R119:U120"/>
    <mergeCell ref="V119:AD120"/>
    <mergeCell ref="B113:D114"/>
    <mergeCell ref="E113:K114"/>
    <mergeCell ref="L113:M114"/>
    <mergeCell ref="N113:Q114"/>
    <mergeCell ref="R113:U114"/>
    <mergeCell ref="V113:AD114"/>
    <mergeCell ref="B115:D116"/>
    <mergeCell ref="E115:K116"/>
    <mergeCell ref="L115:M116"/>
    <mergeCell ref="N115:Q116"/>
    <mergeCell ref="R115:U116"/>
    <mergeCell ref="V115:AD116"/>
    <mergeCell ref="B109:D110"/>
    <mergeCell ref="E109:K110"/>
    <mergeCell ref="L109:M110"/>
    <mergeCell ref="N109:Q110"/>
    <mergeCell ref="R109:U110"/>
    <mergeCell ref="V109:AD110"/>
    <mergeCell ref="B111:D112"/>
    <mergeCell ref="E111:K112"/>
    <mergeCell ref="L111:M112"/>
    <mergeCell ref="N111:Q112"/>
    <mergeCell ref="R111:U112"/>
    <mergeCell ref="V111:AD112"/>
    <mergeCell ref="B105:D106"/>
    <mergeCell ref="E105:K106"/>
    <mergeCell ref="L105:M106"/>
    <mergeCell ref="N105:Q106"/>
    <mergeCell ref="R105:U106"/>
    <mergeCell ref="V105:AD106"/>
    <mergeCell ref="B107:D108"/>
    <mergeCell ref="E107:K108"/>
    <mergeCell ref="L107:M108"/>
    <mergeCell ref="N107:Q108"/>
    <mergeCell ref="R107:U108"/>
    <mergeCell ref="V107:AD108"/>
    <mergeCell ref="B101:D102"/>
    <mergeCell ref="E101:K102"/>
    <mergeCell ref="L101:M102"/>
    <mergeCell ref="N101:Q102"/>
    <mergeCell ref="R101:U102"/>
    <mergeCell ref="V101:AD102"/>
    <mergeCell ref="B103:D104"/>
    <mergeCell ref="E103:K104"/>
    <mergeCell ref="L103:M104"/>
    <mergeCell ref="N103:Q104"/>
    <mergeCell ref="R103:U104"/>
    <mergeCell ref="V103:AD104"/>
    <mergeCell ref="B97:D98"/>
    <mergeCell ref="E97:K98"/>
    <mergeCell ref="L97:M98"/>
    <mergeCell ref="N97:Q98"/>
    <mergeCell ref="R97:U98"/>
    <mergeCell ref="V97:AD98"/>
    <mergeCell ref="B99:D100"/>
    <mergeCell ref="E99:K100"/>
    <mergeCell ref="L99:M100"/>
    <mergeCell ref="N99:Q100"/>
    <mergeCell ref="R99:U100"/>
    <mergeCell ref="V99:AD100"/>
    <mergeCell ref="B93:D94"/>
    <mergeCell ref="E93:K94"/>
    <mergeCell ref="L93:M94"/>
    <mergeCell ref="N93:Q94"/>
    <mergeCell ref="R93:U94"/>
    <mergeCell ref="V93:AD94"/>
    <mergeCell ref="B95:D96"/>
    <mergeCell ref="E95:K96"/>
    <mergeCell ref="L95:M96"/>
    <mergeCell ref="N95:Q96"/>
    <mergeCell ref="R95:U96"/>
    <mergeCell ref="V95:AD96"/>
    <mergeCell ref="B89:D90"/>
    <mergeCell ref="E89:K90"/>
    <mergeCell ref="L89:M90"/>
    <mergeCell ref="N89:Q90"/>
    <mergeCell ref="R89:U90"/>
    <mergeCell ref="V89:AD90"/>
    <mergeCell ref="B91:D92"/>
    <mergeCell ref="E91:K92"/>
    <mergeCell ref="L91:M92"/>
    <mergeCell ref="N91:Q92"/>
    <mergeCell ref="R91:U92"/>
    <mergeCell ref="V91:AD92"/>
    <mergeCell ref="B83:K86"/>
    <mergeCell ref="L83:M86"/>
    <mergeCell ref="N83:U84"/>
    <mergeCell ref="V83:AD86"/>
    <mergeCell ref="N85:Q86"/>
    <mergeCell ref="R85:U86"/>
    <mergeCell ref="B78:H81"/>
    <mergeCell ref="B87:K88"/>
    <mergeCell ref="L87:M88"/>
    <mergeCell ref="N87:Q88"/>
    <mergeCell ref="R87:U88"/>
    <mergeCell ref="V87:AD88"/>
    <mergeCell ref="I78:I81"/>
    <mergeCell ref="J78:L81"/>
    <mergeCell ref="M78:M81"/>
    <mergeCell ref="N78:P81"/>
    <mergeCell ref="W78:W81"/>
    <mergeCell ref="V69:AD70"/>
    <mergeCell ref="Y71:AD72"/>
    <mergeCell ref="X78:Z81"/>
    <mergeCell ref="AA78:AA81"/>
    <mergeCell ref="AB78:AD81"/>
    <mergeCell ref="C74:E74"/>
    <mergeCell ref="AC75:AD75"/>
    <mergeCell ref="B76:P77"/>
    <mergeCell ref="W76:AD77"/>
    <mergeCell ref="B69:D70"/>
    <mergeCell ref="L69:M70"/>
    <mergeCell ref="N69:Q70"/>
    <mergeCell ref="R69:U70"/>
    <mergeCell ref="E69:K70"/>
    <mergeCell ref="E65:K66"/>
    <mergeCell ref="E67:K68"/>
    <mergeCell ref="B63:D64"/>
    <mergeCell ref="E63:K64"/>
    <mergeCell ref="L63:M64"/>
    <mergeCell ref="N63:Q64"/>
    <mergeCell ref="V65:AD66"/>
    <mergeCell ref="B67:D68"/>
    <mergeCell ref="L67:M68"/>
    <mergeCell ref="N67:Q68"/>
    <mergeCell ref="R67:U68"/>
    <mergeCell ref="V67:AD68"/>
    <mergeCell ref="B65:D66"/>
    <mergeCell ref="L65:M66"/>
    <mergeCell ref="N65:Q66"/>
    <mergeCell ref="R65:U66"/>
    <mergeCell ref="B59:D60"/>
    <mergeCell ref="E59:K60"/>
    <mergeCell ref="L59:M60"/>
    <mergeCell ref="N59:Q60"/>
    <mergeCell ref="R59:U60"/>
    <mergeCell ref="V59:AD60"/>
    <mergeCell ref="R63:U64"/>
    <mergeCell ref="V63:AD64"/>
    <mergeCell ref="B61:D62"/>
    <mergeCell ref="E61:K62"/>
    <mergeCell ref="L61:M62"/>
    <mergeCell ref="N61:Q62"/>
    <mergeCell ref="R61:U62"/>
    <mergeCell ref="V61:AD62"/>
    <mergeCell ref="B55:D56"/>
    <mergeCell ref="E55:K56"/>
    <mergeCell ref="L55:M56"/>
    <mergeCell ref="N55:Q56"/>
    <mergeCell ref="R55:U56"/>
    <mergeCell ref="V55:AD56"/>
    <mergeCell ref="B57:D58"/>
    <mergeCell ref="E57:K58"/>
    <mergeCell ref="L57:M58"/>
    <mergeCell ref="N57:Q58"/>
    <mergeCell ref="R57:U58"/>
    <mergeCell ref="V57:AD58"/>
    <mergeCell ref="B51:D52"/>
    <mergeCell ref="E51:K52"/>
    <mergeCell ref="L51:M52"/>
    <mergeCell ref="N51:Q52"/>
    <mergeCell ref="R51:U52"/>
    <mergeCell ref="V51:AD52"/>
    <mergeCell ref="B53:D54"/>
    <mergeCell ref="E53:K54"/>
    <mergeCell ref="L53:M54"/>
    <mergeCell ref="N53:Q54"/>
    <mergeCell ref="R53:U54"/>
    <mergeCell ref="V53:AD54"/>
    <mergeCell ref="B47:D48"/>
    <mergeCell ref="E47:K48"/>
    <mergeCell ref="L47:M48"/>
    <mergeCell ref="N47:Q48"/>
    <mergeCell ref="R47:U48"/>
    <mergeCell ref="V47:AD48"/>
    <mergeCell ref="B49:D50"/>
    <mergeCell ref="E49:K50"/>
    <mergeCell ref="L49:M50"/>
    <mergeCell ref="N49:Q50"/>
    <mergeCell ref="R49:U50"/>
    <mergeCell ref="V49:AD50"/>
    <mergeCell ref="B43:D44"/>
    <mergeCell ref="E43:K44"/>
    <mergeCell ref="L43:M44"/>
    <mergeCell ref="N43:Q44"/>
    <mergeCell ref="R43:U44"/>
    <mergeCell ref="V43:AD44"/>
    <mergeCell ref="B45:D46"/>
    <mergeCell ref="E45:K46"/>
    <mergeCell ref="L45:M46"/>
    <mergeCell ref="N45:Q46"/>
    <mergeCell ref="R45:U46"/>
    <mergeCell ref="V45:AD46"/>
    <mergeCell ref="B39:D40"/>
    <mergeCell ref="E39:K40"/>
    <mergeCell ref="L39:M40"/>
    <mergeCell ref="N39:Q40"/>
    <mergeCell ref="R39:U40"/>
    <mergeCell ref="V39:AD40"/>
    <mergeCell ref="B41:D42"/>
    <mergeCell ref="E41:K42"/>
    <mergeCell ref="L41:M42"/>
    <mergeCell ref="N41:Q42"/>
    <mergeCell ref="R41:U42"/>
    <mergeCell ref="V41:AD42"/>
    <mergeCell ref="B35:D36"/>
    <mergeCell ref="E35:K36"/>
    <mergeCell ref="L35:M36"/>
    <mergeCell ref="N35:Q36"/>
    <mergeCell ref="R35:U36"/>
    <mergeCell ref="V35:AD36"/>
    <mergeCell ref="B37:D38"/>
    <mergeCell ref="E37:K38"/>
    <mergeCell ref="L37:M38"/>
    <mergeCell ref="N37:Q38"/>
    <mergeCell ref="R37:U38"/>
    <mergeCell ref="V37:AD38"/>
    <mergeCell ref="B31:D32"/>
    <mergeCell ref="E31:K32"/>
    <mergeCell ref="L31:M32"/>
    <mergeCell ref="N31:Q32"/>
    <mergeCell ref="R31:U32"/>
    <mergeCell ref="V31:AD32"/>
    <mergeCell ref="B33:D34"/>
    <mergeCell ref="E33:K34"/>
    <mergeCell ref="L33:M34"/>
    <mergeCell ref="N33:Q34"/>
    <mergeCell ref="R33:U34"/>
    <mergeCell ref="V33:AD34"/>
    <mergeCell ref="V23:AD24"/>
    <mergeCell ref="B27:D28"/>
    <mergeCell ref="E27:K28"/>
    <mergeCell ref="L27:M28"/>
    <mergeCell ref="N27:Q28"/>
    <mergeCell ref="R27:U28"/>
    <mergeCell ref="V27:AD28"/>
    <mergeCell ref="B29:D30"/>
    <mergeCell ref="E29:K30"/>
    <mergeCell ref="L29:M30"/>
    <mergeCell ref="N29:Q30"/>
    <mergeCell ref="R29:U30"/>
    <mergeCell ref="V29:AD30"/>
    <mergeCell ref="B25:AD26"/>
    <mergeCell ref="B23:D24"/>
    <mergeCell ref="E23:K24"/>
    <mergeCell ref="L23:M24"/>
    <mergeCell ref="N23:Q24"/>
    <mergeCell ref="R23:U24"/>
    <mergeCell ref="V21:AD22"/>
    <mergeCell ref="V17:AD18"/>
    <mergeCell ref="B19:D20"/>
    <mergeCell ref="E19:K20"/>
    <mergeCell ref="L19:M20"/>
    <mergeCell ref="N19:Q20"/>
    <mergeCell ref="R19:U20"/>
    <mergeCell ref="V19:AD20"/>
    <mergeCell ref="R21:U22"/>
    <mergeCell ref="B17:D18"/>
    <mergeCell ref="E17:K18"/>
    <mergeCell ref="L17:M18"/>
    <mergeCell ref="N17:Q18"/>
    <mergeCell ref="R17:U18"/>
    <mergeCell ref="B21:D22"/>
    <mergeCell ref="E21:K22"/>
    <mergeCell ref="L21:M22"/>
    <mergeCell ref="N21:Q22"/>
    <mergeCell ref="B15:K16"/>
    <mergeCell ref="L15:M16"/>
    <mergeCell ref="N15:Q16"/>
    <mergeCell ref="R15:U16"/>
    <mergeCell ref="V15:AD16"/>
    <mergeCell ref="C2:E2"/>
    <mergeCell ref="AC3:AD3"/>
    <mergeCell ref="B4:P5"/>
    <mergeCell ref="W4:AD5"/>
    <mergeCell ref="B6:H9"/>
    <mergeCell ref="B11:K14"/>
    <mergeCell ref="L11:M14"/>
    <mergeCell ref="N11:U12"/>
    <mergeCell ref="V11:AD14"/>
    <mergeCell ref="N13:Q14"/>
    <mergeCell ref="R13:U14"/>
    <mergeCell ref="AA6:AA9"/>
    <mergeCell ref="AB6:AD9"/>
    <mergeCell ref="I6:I9"/>
    <mergeCell ref="J6:L9"/>
    <mergeCell ref="M6:M9"/>
    <mergeCell ref="N6:P9"/>
    <mergeCell ref="W6:W9"/>
    <mergeCell ref="X6:Z9"/>
  </mergeCells>
  <phoneticPr fontId="2"/>
  <pageMargins left="0.70866141732283472" right="0.70866141732283472" top="0.74803149606299213" bottom="0.55118110236220474" header="0.31496062992125984" footer="0.31496062992125984"/>
  <pageSetup paperSize="9" scale="76" orientation="portrait" r:id="rId1"/>
  <rowBreaks count="4" manualBreakCount="4">
    <brk id="72" max="30" man="1"/>
    <brk id="144" max="30" man="1"/>
    <brk id="216" max="30" man="1"/>
    <brk id="289" max="30"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F2C65-2CAD-496B-AB22-E05A8E582773}">
  <sheetPr codeName="Sheet2">
    <tabColor theme="5" tint="0.59999389629810485"/>
  </sheetPr>
  <dimension ref="B2:AE365"/>
  <sheetViews>
    <sheetView view="pageBreakPreview" topLeftCell="A33" zoomScaleNormal="100" zoomScaleSheetLayoutView="100" workbookViewId="0">
      <selection activeCell="G2" sqref="G2:I2"/>
    </sheetView>
  </sheetViews>
  <sheetFormatPr defaultColWidth="8.19921875" defaultRowHeight="13.2"/>
  <cols>
    <col min="1" max="13" width="3.09765625" style="22" customWidth="1"/>
    <col min="14" max="31" width="3.09765625" style="11" customWidth="1"/>
    <col min="32" max="16384" width="8.19921875" style="22"/>
  </cols>
  <sheetData>
    <row r="2" spans="2:30" ht="21.6" customHeight="1">
      <c r="B2" s="708" t="s">
        <v>774</v>
      </c>
      <c r="C2" s="708"/>
      <c r="D2" s="708"/>
      <c r="E2" s="708"/>
      <c r="G2" s="193" t="s">
        <v>137</v>
      </c>
      <c r="H2" s="193"/>
      <c r="I2" s="193"/>
      <c r="J2" s="23" t="s">
        <v>300</v>
      </c>
      <c r="K2" s="23"/>
      <c r="L2" s="23"/>
      <c r="M2" s="23"/>
      <c r="N2" s="24"/>
      <c r="O2" s="24"/>
      <c r="P2" s="24"/>
      <c r="Q2" s="24"/>
      <c r="R2" s="24"/>
      <c r="S2" s="24"/>
      <c r="T2" s="24"/>
      <c r="U2" s="24"/>
      <c r="V2" s="24"/>
      <c r="W2" s="24"/>
      <c r="X2" s="24"/>
      <c r="AC2" s="334" t="s">
        <v>416</v>
      </c>
      <c r="AD2" s="334"/>
    </row>
    <row r="4" spans="2:30" ht="13.2" customHeight="1">
      <c r="B4" s="408">
        <v>46133</v>
      </c>
      <c r="C4" s="409"/>
      <c r="D4" s="409"/>
      <c r="E4" s="409"/>
      <c r="F4" s="409"/>
      <c r="G4" s="409"/>
      <c r="H4" s="409"/>
      <c r="I4" s="409"/>
      <c r="J4" s="409"/>
      <c r="K4" s="409"/>
      <c r="L4" s="409"/>
      <c r="M4" s="409"/>
      <c r="N4" s="25"/>
      <c r="Q4" s="366" t="s">
        <v>415</v>
      </c>
      <c r="R4" s="367"/>
      <c r="S4" s="366" t="s">
        <v>414</v>
      </c>
      <c r="T4" s="370"/>
      <c r="U4" s="367"/>
      <c r="V4" s="373" t="s">
        <v>410</v>
      </c>
      <c r="W4" s="374"/>
      <c r="X4" s="375"/>
      <c r="Y4" s="372" t="s">
        <v>413</v>
      </c>
      <c r="Z4" s="372"/>
      <c r="AA4" s="372"/>
      <c r="AB4" s="372" t="s">
        <v>412</v>
      </c>
      <c r="AC4" s="372"/>
      <c r="AD4" s="372"/>
    </row>
    <row r="5" spans="2:30" ht="13.2" customHeight="1">
      <c r="B5" s="410"/>
      <c r="C5" s="411"/>
      <c r="D5" s="411"/>
      <c r="E5" s="411"/>
      <c r="F5" s="411"/>
      <c r="G5" s="411"/>
      <c r="H5" s="411"/>
      <c r="I5" s="411"/>
      <c r="J5" s="411"/>
      <c r="K5" s="411"/>
      <c r="L5" s="411"/>
      <c r="M5" s="411"/>
      <c r="N5" s="26"/>
      <c r="Q5" s="368"/>
      <c r="R5" s="369"/>
      <c r="S5" s="368"/>
      <c r="T5" s="371"/>
      <c r="U5" s="369"/>
      <c r="V5" s="376" t="s">
        <v>411</v>
      </c>
      <c r="W5" s="377"/>
      <c r="X5" s="378"/>
      <c r="Y5" s="372"/>
      <c r="Z5" s="372"/>
      <c r="AA5" s="372"/>
      <c r="AB5" s="372"/>
      <c r="AC5" s="372"/>
      <c r="AD5" s="372"/>
    </row>
    <row r="6" spans="2:30" ht="13.2" customHeight="1">
      <c r="B6" s="387" t="s">
        <v>597</v>
      </c>
      <c r="C6" s="388"/>
      <c r="D6" s="388"/>
      <c r="E6" s="388"/>
      <c r="F6" s="388"/>
      <c r="G6" s="388"/>
      <c r="H6" s="389"/>
      <c r="I6" s="219" t="s">
        <v>410</v>
      </c>
      <c r="J6" s="396" t="e" vm="1">
        <v>#VALUE!</v>
      </c>
      <c r="K6" s="396"/>
      <c r="L6" s="219" t="s">
        <v>409</v>
      </c>
      <c r="M6" s="702"/>
      <c r="N6" s="703"/>
      <c r="Q6" s="27"/>
      <c r="R6" s="28"/>
      <c r="S6" s="366"/>
      <c r="T6" s="370"/>
      <c r="U6" s="367"/>
      <c r="V6" s="372"/>
      <c r="W6" s="372"/>
      <c r="X6" s="372"/>
      <c r="Y6" s="372"/>
      <c r="Z6" s="372"/>
      <c r="AA6" s="372"/>
      <c r="AB6" s="366"/>
      <c r="AC6" s="370"/>
      <c r="AD6" s="367"/>
    </row>
    <row r="7" spans="2:30" ht="13.05" customHeight="1">
      <c r="B7" s="390"/>
      <c r="C7" s="391"/>
      <c r="D7" s="391"/>
      <c r="E7" s="391"/>
      <c r="F7" s="391"/>
      <c r="G7" s="391"/>
      <c r="H7" s="392"/>
      <c r="I7" s="219"/>
      <c r="J7" s="396"/>
      <c r="K7" s="396"/>
      <c r="L7" s="219"/>
      <c r="M7" s="704"/>
      <c r="N7" s="705"/>
      <c r="Q7" s="366" t="s">
        <v>408</v>
      </c>
      <c r="R7" s="367"/>
      <c r="S7" s="397"/>
      <c r="T7" s="398"/>
      <c r="U7" s="399"/>
      <c r="V7" s="372"/>
      <c r="W7" s="372"/>
      <c r="X7" s="372"/>
      <c r="Y7" s="372"/>
      <c r="Z7" s="372"/>
      <c r="AA7" s="372"/>
      <c r="AB7" s="397"/>
      <c r="AC7" s="398"/>
      <c r="AD7" s="399"/>
    </row>
    <row r="8" spans="2:30" ht="13.05" customHeight="1">
      <c r="B8" s="393"/>
      <c r="C8" s="394"/>
      <c r="D8" s="394"/>
      <c r="E8" s="394"/>
      <c r="F8" s="394"/>
      <c r="G8" s="394"/>
      <c r="H8" s="395"/>
      <c r="I8" s="219"/>
      <c r="J8" s="396"/>
      <c r="K8" s="396"/>
      <c r="L8" s="219"/>
      <c r="M8" s="706"/>
      <c r="N8" s="707"/>
      <c r="Q8" s="368"/>
      <c r="R8" s="369"/>
      <c r="S8" s="368"/>
      <c r="T8" s="371"/>
      <c r="U8" s="369"/>
      <c r="V8" s="372"/>
      <c r="W8" s="372"/>
      <c r="X8" s="372"/>
      <c r="Y8" s="372"/>
      <c r="Z8" s="372"/>
      <c r="AA8" s="372"/>
      <c r="AB8" s="368"/>
      <c r="AC8" s="371"/>
      <c r="AD8" s="369"/>
    </row>
    <row r="9" spans="2:30">
      <c r="S9" s="11" t="s">
        <v>306</v>
      </c>
    </row>
    <row r="11" spans="2:30" ht="13.2" customHeight="1">
      <c r="B11" s="29" t="s">
        <v>590</v>
      </c>
      <c r="C11" s="10"/>
      <c r="D11" s="10"/>
      <c r="E11" s="10"/>
      <c r="F11" s="10"/>
      <c r="G11" s="10"/>
      <c r="H11" s="10"/>
      <c r="I11" s="10"/>
      <c r="J11" s="10"/>
      <c r="K11" s="10"/>
      <c r="L11" s="10"/>
      <c r="M11" s="10"/>
      <c r="N11" s="9"/>
      <c r="O11" s="9"/>
      <c r="P11" s="9"/>
      <c r="Q11" s="9"/>
      <c r="R11" s="9"/>
      <c r="S11" s="9"/>
      <c r="T11" s="9"/>
      <c r="U11" s="9"/>
      <c r="V11" s="9"/>
      <c r="W11" s="9"/>
      <c r="X11" s="9"/>
      <c r="Y11" s="9"/>
      <c r="Z11" s="9"/>
      <c r="AA11" s="9"/>
      <c r="AB11" s="9"/>
      <c r="AC11" s="9"/>
      <c r="AD11" s="8"/>
    </row>
    <row r="12" spans="2:30" ht="13.2" customHeight="1">
      <c r="B12" s="12" t="s">
        <v>591</v>
      </c>
      <c r="C12" s="7"/>
      <c r="D12" s="7"/>
      <c r="E12" s="7"/>
      <c r="F12" s="7"/>
      <c r="G12" s="7"/>
      <c r="H12" s="7"/>
      <c r="I12" s="7"/>
      <c r="J12" s="7"/>
      <c r="K12" s="7"/>
      <c r="L12" s="7"/>
      <c r="M12" s="7"/>
      <c r="N12" s="6"/>
      <c r="O12" s="6"/>
      <c r="P12" s="6"/>
      <c r="Q12" s="6"/>
      <c r="R12" s="6"/>
      <c r="S12" s="6"/>
      <c r="T12" s="6"/>
      <c r="U12" s="6"/>
      <c r="V12" s="6"/>
      <c r="W12" s="6"/>
      <c r="X12" s="6"/>
      <c r="Y12" s="6"/>
      <c r="Z12" s="6"/>
      <c r="AA12" s="6"/>
      <c r="AB12" s="6"/>
      <c r="AC12" s="6"/>
      <c r="AD12" s="5"/>
    </row>
    <row r="13" spans="2:30" ht="13.2" customHeight="1">
      <c r="B13" s="4"/>
      <c r="C13" s="3"/>
      <c r="D13" s="3"/>
      <c r="E13" s="3"/>
      <c r="F13" s="3"/>
      <c r="G13" s="3"/>
      <c r="H13" s="3"/>
      <c r="I13" s="3"/>
      <c r="J13" s="3"/>
      <c r="K13" s="3"/>
      <c r="L13" s="3"/>
      <c r="M13" s="3"/>
      <c r="N13" s="2"/>
      <c r="O13" s="2"/>
      <c r="P13" s="2"/>
      <c r="Q13" s="2"/>
      <c r="R13" s="2"/>
      <c r="S13" s="2"/>
      <c r="T13" s="2"/>
      <c r="U13" s="2"/>
      <c r="V13" s="2"/>
      <c r="W13" s="2"/>
      <c r="X13" s="2"/>
      <c r="Y13" s="2"/>
      <c r="Z13" s="2"/>
      <c r="AA13" s="2"/>
      <c r="AB13" s="2"/>
      <c r="AC13" s="2"/>
      <c r="AD13" s="1"/>
    </row>
    <row r="14" spans="2:30" ht="13.5" customHeight="1">
      <c r="B14" s="204" t="s">
        <v>592</v>
      </c>
      <c r="C14" s="204"/>
      <c r="D14" s="204"/>
      <c r="E14" s="204"/>
      <c r="F14" s="204"/>
      <c r="G14" s="204"/>
      <c r="H14" s="204"/>
      <c r="I14" s="204"/>
      <c r="J14" s="204"/>
      <c r="K14" s="204"/>
      <c r="L14" s="206" t="s">
        <v>589</v>
      </c>
      <c r="M14" s="206"/>
      <c r="N14" s="400" t="s">
        <v>407</v>
      </c>
      <c r="O14" s="401"/>
      <c r="P14" s="401"/>
      <c r="Q14" s="401"/>
      <c r="R14" s="401"/>
      <c r="S14" s="401"/>
      <c r="T14" s="401"/>
      <c r="U14" s="402"/>
      <c r="V14" s="416" t="s">
        <v>406</v>
      </c>
      <c r="W14" s="417"/>
      <c r="X14" s="417"/>
      <c r="Y14" s="419" t="s">
        <v>405</v>
      </c>
      <c r="Z14" s="372"/>
      <c r="AA14" s="372"/>
      <c r="AB14" s="372"/>
      <c r="AC14" s="372"/>
      <c r="AD14" s="372"/>
    </row>
    <row r="15" spans="2:30" ht="13.2" customHeight="1">
      <c r="B15" s="204"/>
      <c r="C15" s="204"/>
      <c r="D15" s="204"/>
      <c r="E15" s="204"/>
      <c r="F15" s="204"/>
      <c r="G15" s="204"/>
      <c r="H15" s="204"/>
      <c r="I15" s="204"/>
      <c r="J15" s="204"/>
      <c r="K15" s="204"/>
      <c r="L15" s="206"/>
      <c r="M15" s="206"/>
      <c r="N15" s="412"/>
      <c r="O15" s="413"/>
      <c r="P15" s="413"/>
      <c r="Q15" s="413"/>
      <c r="R15" s="413"/>
      <c r="S15" s="413"/>
      <c r="T15" s="413"/>
      <c r="U15" s="414"/>
      <c r="V15" s="417"/>
      <c r="W15" s="417"/>
      <c r="X15" s="417"/>
      <c r="Y15" s="372"/>
      <c r="Z15" s="372"/>
      <c r="AA15" s="372"/>
      <c r="AB15" s="372"/>
      <c r="AC15" s="372"/>
      <c r="AD15" s="372"/>
    </row>
    <row r="16" spans="2:30" ht="13.2" customHeight="1">
      <c r="B16" s="204"/>
      <c r="C16" s="204"/>
      <c r="D16" s="204"/>
      <c r="E16" s="204"/>
      <c r="F16" s="204"/>
      <c r="G16" s="204"/>
      <c r="H16" s="204"/>
      <c r="I16" s="204"/>
      <c r="J16" s="204"/>
      <c r="K16" s="204"/>
      <c r="L16" s="206"/>
      <c r="M16" s="206"/>
      <c r="N16" s="400" t="s">
        <v>404</v>
      </c>
      <c r="O16" s="401"/>
      <c r="P16" s="401"/>
      <c r="Q16" s="402"/>
      <c r="R16" s="400" t="s">
        <v>403</v>
      </c>
      <c r="S16" s="401"/>
      <c r="T16" s="401"/>
      <c r="U16" s="402"/>
      <c r="V16" s="417"/>
      <c r="W16" s="417"/>
      <c r="X16" s="417"/>
      <c r="Y16" s="372"/>
      <c r="Z16" s="372"/>
      <c r="AA16" s="372"/>
      <c r="AB16" s="372"/>
      <c r="AC16" s="372"/>
      <c r="AD16" s="372"/>
    </row>
    <row r="17" spans="2:30" ht="13.95" customHeight="1" thickBot="1">
      <c r="B17" s="205"/>
      <c r="C17" s="205"/>
      <c r="D17" s="205"/>
      <c r="E17" s="205"/>
      <c r="F17" s="205"/>
      <c r="G17" s="205"/>
      <c r="H17" s="205"/>
      <c r="I17" s="205"/>
      <c r="J17" s="205"/>
      <c r="K17" s="205"/>
      <c r="L17" s="207"/>
      <c r="M17" s="207"/>
      <c r="N17" s="403"/>
      <c r="O17" s="404"/>
      <c r="P17" s="404"/>
      <c r="Q17" s="405"/>
      <c r="R17" s="403"/>
      <c r="S17" s="404"/>
      <c r="T17" s="404"/>
      <c r="U17" s="405"/>
      <c r="V17" s="418"/>
      <c r="W17" s="418"/>
      <c r="X17" s="418"/>
      <c r="Y17" s="420"/>
      <c r="Z17" s="420"/>
      <c r="AA17" s="420"/>
      <c r="AB17" s="420"/>
      <c r="AC17" s="420"/>
      <c r="AD17" s="420"/>
    </row>
    <row r="18" spans="2:30" ht="14.25" customHeight="1" thickTop="1">
      <c r="B18" s="379" t="s">
        <v>402</v>
      </c>
      <c r="C18" s="379"/>
      <c r="D18" s="379"/>
      <c r="E18" s="380" t="s">
        <v>401</v>
      </c>
      <c r="F18" s="380"/>
      <c r="G18" s="380"/>
      <c r="H18" s="380"/>
      <c r="I18" s="380"/>
      <c r="J18" s="380"/>
      <c r="K18" s="380"/>
      <c r="L18" s="225" t="s">
        <v>261</v>
      </c>
      <c r="M18" s="225"/>
      <c r="N18" s="421">
        <v>0</v>
      </c>
      <c r="O18" s="422"/>
      <c r="P18" s="422"/>
      <c r="Q18" s="423"/>
      <c r="R18" s="421">
        <v>0</v>
      </c>
      <c r="S18" s="422"/>
      <c r="T18" s="422"/>
      <c r="U18" s="423"/>
      <c r="V18" s="415"/>
      <c r="W18" s="415"/>
      <c r="X18" s="415"/>
      <c r="Y18" s="406"/>
      <c r="Z18" s="406"/>
      <c r="AA18" s="406"/>
      <c r="AB18" s="406"/>
      <c r="AC18" s="406"/>
      <c r="AD18" s="406"/>
    </row>
    <row r="19" spans="2:30" ht="13.5" customHeight="1">
      <c r="B19" s="379"/>
      <c r="C19" s="379"/>
      <c r="D19" s="379"/>
      <c r="E19" s="380"/>
      <c r="F19" s="380"/>
      <c r="G19" s="380"/>
      <c r="H19" s="380"/>
      <c r="I19" s="380"/>
      <c r="J19" s="380"/>
      <c r="K19" s="380"/>
      <c r="L19" s="225"/>
      <c r="M19" s="225"/>
      <c r="N19" s="384"/>
      <c r="O19" s="385"/>
      <c r="P19" s="385"/>
      <c r="Q19" s="386"/>
      <c r="R19" s="384"/>
      <c r="S19" s="385"/>
      <c r="T19" s="385"/>
      <c r="U19" s="386"/>
      <c r="V19" s="372"/>
      <c r="W19" s="372"/>
      <c r="X19" s="372"/>
      <c r="Y19" s="407"/>
      <c r="Z19" s="407"/>
      <c r="AA19" s="407"/>
      <c r="AB19" s="407"/>
      <c r="AC19" s="407"/>
      <c r="AD19" s="407"/>
    </row>
    <row r="20" spans="2:30" ht="13.5" customHeight="1">
      <c r="B20" s="379" t="s">
        <v>400</v>
      </c>
      <c r="C20" s="379"/>
      <c r="D20" s="379"/>
      <c r="E20" s="380" t="s">
        <v>399</v>
      </c>
      <c r="F20" s="380"/>
      <c r="G20" s="380"/>
      <c r="H20" s="380"/>
      <c r="I20" s="380"/>
      <c r="J20" s="380"/>
      <c r="K20" s="380"/>
      <c r="L20" s="225" t="s">
        <v>261</v>
      </c>
      <c r="M20" s="225"/>
      <c r="N20" s="381">
        <v>0</v>
      </c>
      <c r="O20" s="382"/>
      <c r="P20" s="382"/>
      <c r="Q20" s="383"/>
      <c r="R20" s="381">
        <v>0</v>
      </c>
      <c r="S20" s="382"/>
      <c r="T20" s="382"/>
      <c r="U20" s="383"/>
      <c r="V20" s="372"/>
      <c r="W20" s="372"/>
      <c r="X20" s="372"/>
      <c r="Y20" s="407"/>
      <c r="Z20" s="407"/>
      <c r="AA20" s="407"/>
      <c r="AB20" s="407"/>
      <c r="AC20" s="407"/>
      <c r="AD20" s="407"/>
    </row>
    <row r="21" spans="2:30" ht="13.5" customHeight="1">
      <c r="B21" s="379"/>
      <c r="C21" s="379"/>
      <c r="D21" s="379"/>
      <c r="E21" s="380"/>
      <c r="F21" s="380"/>
      <c r="G21" s="380"/>
      <c r="H21" s="380"/>
      <c r="I21" s="380"/>
      <c r="J21" s="380"/>
      <c r="K21" s="380"/>
      <c r="L21" s="225"/>
      <c r="M21" s="225"/>
      <c r="N21" s="384"/>
      <c r="O21" s="385"/>
      <c r="P21" s="385"/>
      <c r="Q21" s="386"/>
      <c r="R21" s="384"/>
      <c r="S21" s="385"/>
      <c r="T21" s="385"/>
      <c r="U21" s="386"/>
      <c r="V21" s="372"/>
      <c r="W21" s="372"/>
      <c r="X21" s="372"/>
      <c r="Y21" s="407"/>
      <c r="Z21" s="407"/>
      <c r="AA21" s="407"/>
      <c r="AB21" s="407"/>
      <c r="AC21" s="407"/>
      <c r="AD21" s="407"/>
    </row>
    <row r="22" spans="2:30" ht="13.5" customHeight="1">
      <c r="B22" s="379" t="s">
        <v>398</v>
      </c>
      <c r="C22" s="379"/>
      <c r="D22" s="379"/>
      <c r="E22" s="380" t="s">
        <v>397</v>
      </c>
      <c r="F22" s="380"/>
      <c r="G22" s="380"/>
      <c r="H22" s="380"/>
      <c r="I22" s="380"/>
      <c r="J22" s="380"/>
      <c r="K22" s="380"/>
      <c r="L22" s="225" t="s">
        <v>261</v>
      </c>
      <c r="M22" s="225"/>
      <c r="N22" s="381">
        <v>0</v>
      </c>
      <c r="O22" s="382"/>
      <c r="P22" s="382"/>
      <c r="Q22" s="383"/>
      <c r="R22" s="381">
        <v>0</v>
      </c>
      <c r="S22" s="382"/>
      <c r="T22" s="382"/>
      <c r="U22" s="383"/>
      <c r="V22" s="372"/>
      <c r="W22" s="372"/>
      <c r="X22" s="372"/>
      <c r="Y22" s="407"/>
      <c r="Z22" s="407"/>
      <c r="AA22" s="407"/>
      <c r="AB22" s="407"/>
      <c r="AC22" s="407"/>
      <c r="AD22" s="407"/>
    </row>
    <row r="23" spans="2:30" ht="13.5" customHeight="1">
      <c r="B23" s="379"/>
      <c r="C23" s="379"/>
      <c r="D23" s="379"/>
      <c r="E23" s="380"/>
      <c r="F23" s="380"/>
      <c r="G23" s="380"/>
      <c r="H23" s="380"/>
      <c r="I23" s="380"/>
      <c r="J23" s="380"/>
      <c r="K23" s="380"/>
      <c r="L23" s="225"/>
      <c r="M23" s="225"/>
      <c r="N23" s="384"/>
      <c r="O23" s="385"/>
      <c r="P23" s="385"/>
      <c r="Q23" s="386"/>
      <c r="R23" s="384"/>
      <c r="S23" s="385"/>
      <c r="T23" s="385"/>
      <c r="U23" s="386"/>
      <c r="V23" s="372"/>
      <c r="W23" s="372"/>
      <c r="X23" s="372"/>
      <c r="Y23" s="407"/>
      <c r="Z23" s="407"/>
      <c r="AA23" s="407"/>
      <c r="AB23" s="407"/>
      <c r="AC23" s="407"/>
      <c r="AD23" s="407"/>
    </row>
    <row r="24" spans="2:30" ht="13.5" customHeight="1">
      <c r="B24" s="379" t="s">
        <v>396</v>
      </c>
      <c r="C24" s="379"/>
      <c r="D24" s="379"/>
      <c r="E24" s="380" t="s">
        <v>395</v>
      </c>
      <c r="F24" s="380"/>
      <c r="G24" s="380"/>
      <c r="H24" s="380"/>
      <c r="I24" s="380"/>
      <c r="J24" s="380"/>
      <c r="K24" s="380"/>
      <c r="L24" s="225" t="s">
        <v>261</v>
      </c>
      <c r="M24" s="225"/>
      <c r="N24" s="381">
        <v>0</v>
      </c>
      <c r="O24" s="382"/>
      <c r="P24" s="382"/>
      <c r="Q24" s="383"/>
      <c r="R24" s="381">
        <v>0</v>
      </c>
      <c r="S24" s="382"/>
      <c r="T24" s="382"/>
      <c r="U24" s="383"/>
      <c r="V24" s="372"/>
      <c r="W24" s="372"/>
      <c r="X24" s="372"/>
      <c r="Y24" s="224"/>
      <c r="Z24" s="224"/>
      <c r="AA24" s="224"/>
      <c r="AB24" s="224"/>
      <c r="AC24" s="224"/>
      <c r="AD24" s="224"/>
    </row>
    <row r="25" spans="2:30" ht="13.5" customHeight="1">
      <c r="B25" s="379"/>
      <c r="C25" s="379"/>
      <c r="D25" s="379"/>
      <c r="E25" s="380"/>
      <c r="F25" s="380"/>
      <c r="G25" s="380"/>
      <c r="H25" s="380"/>
      <c r="I25" s="380"/>
      <c r="J25" s="380"/>
      <c r="K25" s="380"/>
      <c r="L25" s="225"/>
      <c r="M25" s="225"/>
      <c r="N25" s="384"/>
      <c r="O25" s="385"/>
      <c r="P25" s="385"/>
      <c r="Q25" s="386"/>
      <c r="R25" s="384"/>
      <c r="S25" s="385"/>
      <c r="T25" s="385"/>
      <c r="U25" s="386"/>
      <c r="V25" s="372"/>
      <c r="W25" s="372"/>
      <c r="X25" s="372"/>
      <c r="Y25" s="224"/>
      <c r="Z25" s="224"/>
      <c r="AA25" s="224"/>
      <c r="AB25" s="224"/>
      <c r="AC25" s="224"/>
      <c r="AD25" s="224"/>
    </row>
    <row r="26" spans="2:30" ht="13.5" customHeight="1">
      <c r="B26" s="379" t="s">
        <v>394</v>
      </c>
      <c r="C26" s="379"/>
      <c r="D26" s="379"/>
      <c r="E26" s="380" t="s">
        <v>393</v>
      </c>
      <c r="F26" s="380"/>
      <c r="G26" s="380"/>
      <c r="H26" s="380"/>
      <c r="I26" s="380"/>
      <c r="J26" s="380"/>
      <c r="K26" s="380"/>
      <c r="L26" s="225" t="s">
        <v>261</v>
      </c>
      <c r="M26" s="225"/>
      <c r="N26" s="381">
        <v>0</v>
      </c>
      <c r="O26" s="382"/>
      <c r="P26" s="382"/>
      <c r="Q26" s="383"/>
      <c r="R26" s="381">
        <v>0</v>
      </c>
      <c r="S26" s="382"/>
      <c r="T26" s="382"/>
      <c r="U26" s="383"/>
      <c r="V26" s="372"/>
      <c r="W26" s="372"/>
      <c r="X26" s="372"/>
      <c r="Y26" s="224"/>
      <c r="Z26" s="224"/>
      <c r="AA26" s="224"/>
      <c r="AB26" s="224"/>
      <c r="AC26" s="224"/>
      <c r="AD26" s="224"/>
    </row>
    <row r="27" spans="2:30" ht="13.5" customHeight="1">
      <c r="B27" s="379"/>
      <c r="C27" s="379"/>
      <c r="D27" s="379"/>
      <c r="E27" s="380"/>
      <c r="F27" s="380"/>
      <c r="G27" s="380"/>
      <c r="H27" s="380"/>
      <c r="I27" s="380"/>
      <c r="J27" s="380"/>
      <c r="K27" s="380"/>
      <c r="L27" s="225"/>
      <c r="M27" s="225"/>
      <c r="N27" s="384"/>
      <c r="O27" s="385"/>
      <c r="P27" s="385"/>
      <c r="Q27" s="386"/>
      <c r="R27" s="384"/>
      <c r="S27" s="385"/>
      <c r="T27" s="385"/>
      <c r="U27" s="386"/>
      <c r="V27" s="372"/>
      <c r="W27" s="372"/>
      <c r="X27" s="372"/>
      <c r="Y27" s="224"/>
      <c r="Z27" s="224"/>
      <c r="AA27" s="224"/>
      <c r="AB27" s="224"/>
      <c r="AC27" s="224"/>
      <c r="AD27" s="224"/>
    </row>
    <row r="28" spans="2:30" ht="13.5" customHeight="1">
      <c r="B28" s="379" t="s">
        <v>392</v>
      </c>
      <c r="C28" s="379"/>
      <c r="D28" s="379"/>
      <c r="E28" s="433" t="s">
        <v>636</v>
      </c>
      <c r="F28" s="433"/>
      <c r="G28" s="433"/>
      <c r="H28" s="433"/>
      <c r="I28" s="433"/>
      <c r="J28" s="433"/>
      <c r="K28" s="433"/>
      <c r="L28" s="225" t="s">
        <v>261</v>
      </c>
      <c r="M28" s="225"/>
      <c r="N28" s="381">
        <v>0</v>
      </c>
      <c r="O28" s="382"/>
      <c r="P28" s="382"/>
      <c r="Q28" s="383"/>
      <c r="R28" s="381">
        <v>0</v>
      </c>
      <c r="S28" s="382"/>
      <c r="T28" s="382"/>
      <c r="U28" s="383"/>
      <c r="V28" s="372"/>
      <c r="W28" s="372"/>
      <c r="X28" s="372"/>
      <c r="Y28" s="224"/>
      <c r="Z28" s="224"/>
      <c r="AA28" s="224"/>
      <c r="AB28" s="224"/>
      <c r="AC28" s="224"/>
      <c r="AD28" s="224"/>
    </row>
    <row r="29" spans="2:30" ht="13.5" customHeight="1">
      <c r="B29" s="379"/>
      <c r="C29" s="379"/>
      <c r="D29" s="379"/>
      <c r="E29" s="433"/>
      <c r="F29" s="433"/>
      <c r="G29" s="433"/>
      <c r="H29" s="433"/>
      <c r="I29" s="433"/>
      <c r="J29" s="433"/>
      <c r="K29" s="433"/>
      <c r="L29" s="225"/>
      <c r="M29" s="225"/>
      <c r="N29" s="384"/>
      <c r="O29" s="385"/>
      <c r="P29" s="385"/>
      <c r="Q29" s="386"/>
      <c r="R29" s="384"/>
      <c r="S29" s="385"/>
      <c r="T29" s="385"/>
      <c r="U29" s="386"/>
      <c r="V29" s="372"/>
      <c r="W29" s="372"/>
      <c r="X29" s="372"/>
      <c r="Y29" s="224"/>
      <c r="Z29" s="224"/>
      <c r="AA29" s="224"/>
      <c r="AB29" s="224"/>
      <c r="AC29" s="224"/>
      <c r="AD29" s="224"/>
    </row>
    <row r="30" spans="2:30" ht="13.5" customHeight="1">
      <c r="B30" s="379" t="s">
        <v>391</v>
      </c>
      <c r="C30" s="379"/>
      <c r="D30" s="379"/>
      <c r="E30" s="380" t="s">
        <v>390</v>
      </c>
      <c r="F30" s="380"/>
      <c r="G30" s="380"/>
      <c r="H30" s="380"/>
      <c r="I30" s="380"/>
      <c r="J30" s="380"/>
      <c r="K30" s="380"/>
      <c r="L30" s="225" t="s">
        <v>261</v>
      </c>
      <c r="M30" s="225"/>
      <c r="N30" s="381">
        <v>0</v>
      </c>
      <c r="O30" s="382"/>
      <c r="P30" s="382"/>
      <c r="Q30" s="383"/>
      <c r="R30" s="381">
        <v>0</v>
      </c>
      <c r="S30" s="382"/>
      <c r="T30" s="382"/>
      <c r="U30" s="383"/>
      <c r="V30" s="372"/>
      <c r="W30" s="372"/>
      <c r="X30" s="372"/>
      <c r="Y30" s="224"/>
      <c r="Z30" s="224"/>
      <c r="AA30" s="224"/>
      <c r="AB30" s="224"/>
      <c r="AC30" s="224"/>
      <c r="AD30" s="224"/>
    </row>
    <row r="31" spans="2:30" ht="13.5" customHeight="1">
      <c r="B31" s="379"/>
      <c r="C31" s="379"/>
      <c r="D31" s="379"/>
      <c r="E31" s="380"/>
      <c r="F31" s="380"/>
      <c r="G31" s="380"/>
      <c r="H31" s="380"/>
      <c r="I31" s="380"/>
      <c r="J31" s="380"/>
      <c r="K31" s="380"/>
      <c r="L31" s="225"/>
      <c r="M31" s="225"/>
      <c r="N31" s="384"/>
      <c r="O31" s="385"/>
      <c r="P31" s="385"/>
      <c r="Q31" s="386"/>
      <c r="R31" s="384"/>
      <c r="S31" s="385"/>
      <c r="T31" s="385"/>
      <c r="U31" s="386"/>
      <c r="V31" s="372"/>
      <c r="W31" s="372"/>
      <c r="X31" s="372"/>
      <c r="Y31" s="224"/>
      <c r="Z31" s="224"/>
      <c r="AA31" s="224"/>
      <c r="AB31" s="224"/>
      <c r="AC31" s="224"/>
      <c r="AD31" s="224"/>
    </row>
    <row r="32" spans="2:30" ht="13.5" customHeight="1">
      <c r="B32" s="379"/>
      <c r="C32" s="379"/>
      <c r="D32" s="379"/>
      <c r="E32" s="380"/>
      <c r="F32" s="380"/>
      <c r="G32" s="380"/>
      <c r="H32" s="380"/>
      <c r="I32" s="380"/>
      <c r="J32" s="380"/>
      <c r="K32" s="380"/>
      <c r="L32" s="225"/>
      <c r="M32" s="225"/>
      <c r="N32" s="381"/>
      <c r="O32" s="382"/>
      <c r="P32" s="382"/>
      <c r="Q32" s="383"/>
      <c r="R32" s="381"/>
      <c r="S32" s="382"/>
      <c r="T32" s="382"/>
      <c r="U32" s="383"/>
      <c r="V32" s="372"/>
      <c r="W32" s="372"/>
      <c r="X32" s="372"/>
      <c r="Y32" s="224"/>
      <c r="Z32" s="224"/>
      <c r="AA32" s="224"/>
      <c r="AB32" s="224"/>
      <c r="AC32" s="224"/>
      <c r="AD32" s="224"/>
    </row>
    <row r="33" spans="2:30" ht="13.5" customHeight="1">
      <c r="B33" s="379"/>
      <c r="C33" s="379"/>
      <c r="D33" s="379"/>
      <c r="E33" s="380"/>
      <c r="F33" s="380"/>
      <c r="G33" s="380"/>
      <c r="H33" s="380"/>
      <c r="I33" s="380"/>
      <c r="J33" s="380"/>
      <c r="K33" s="380"/>
      <c r="L33" s="225"/>
      <c r="M33" s="225"/>
      <c r="N33" s="384"/>
      <c r="O33" s="385"/>
      <c r="P33" s="385"/>
      <c r="Q33" s="386"/>
      <c r="R33" s="384"/>
      <c r="S33" s="385"/>
      <c r="T33" s="385"/>
      <c r="U33" s="386"/>
      <c r="V33" s="372"/>
      <c r="W33" s="372"/>
      <c r="X33" s="372"/>
      <c r="Y33" s="224"/>
      <c r="Z33" s="224"/>
      <c r="AA33" s="224"/>
      <c r="AB33" s="224"/>
      <c r="AC33" s="224"/>
      <c r="AD33" s="224"/>
    </row>
    <row r="34" spans="2:30" ht="13.5" customHeight="1">
      <c r="B34" s="424" t="s">
        <v>638</v>
      </c>
      <c r="C34" s="425"/>
      <c r="D34" s="426"/>
      <c r="E34" s="430" t="s">
        <v>715</v>
      </c>
      <c r="F34" s="430"/>
      <c r="G34" s="430"/>
      <c r="H34" s="430"/>
      <c r="I34" s="430"/>
      <c r="J34" s="430"/>
      <c r="K34" s="430"/>
      <c r="L34" s="225" t="s">
        <v>261</v>
      </c>
      <c r="M34" s="225"/>
      <c r="N34" s="381">
        <v>0</v>
      </c>
      <c r="O34" s="382"/>
      <c r="P34" s="382"/>
      <c r="Q34" s="383"/>
      <c r="R34" s="381">
        <v>0</v>
      </c>
      <c r="S34" s="382"/>
      <c r="T34" s="382"/>
      <c r="U34" s="383"/>
      <c r="V34" s="372"/>
      <c r="W34" s="372"/>
      <c r="X34" s="372"/>
      <c r="Y34" s="431"/>
      <c r="Z34" s="337"/>
      <c r="AA34" s="337"/>
      <c r="AB34" s="337"/>
      <c r="AC34" s="337"/>
      <c r="AD34" s="338"/>
    </row>
    <row r="35" spans="2:30" ht="13.5" customHeight="1">
      <c r="B35" s="427"/>
      <c r="C35" s="428"/>
      <c r="D35" s="429"/>
      <c r="E35" s="430"/>
      <c r="F35" s="430"/>
      <c r="G35" s="430"/>
      <c r="H35" s="430"/>
      <c r="I35" s="430"/>
      <c r="J35" s="430"/>
      <c r="K35" s="430"/>
      <c r="L35" s="225"/>
      <c r="M35" s="225"/>
      <c r="N35" s="384"/>
      <c r="O35" s="385"/>
      <c r="P35" s="385"/>
      <c r="Q35" s="386"/>
      <c r="R35" s="384"/>
      <c r="S35" s="385"/>
      <c r="T35" s="385"/>
      <c r="U35" s="386"/>
      <c r="V35" s="372"/>
      <c r="W35" s="372"/>
      <c r="X35" s="372"/>
      <c r="Y35" s="339"/>
      <c r="Z35" s="340"/>
      <c r="AA35" s="340"/>
      <c r="AB35" s="340"/>
      <c r="AC35" s="340"/>
      <c r="AD35" s="341"/>
    </row>
    <row r="36" spans="2:30" ht="13.5" customHeight="1">
      <c r="B36" s="432" t="s">
        <v>640</v>
      </c>
      <c r="C36" s="379"/>
      <c r="D36" s="379"/>
      <c r="E36" s="430" t="s">
        <v>703</v>
      </c>
      <c r="F36" s="430"/>
      <c r="G36" s="430"/>
      <c r="H36" s="430"/>
      <c r="I36" s="430"/>
      <c r="J36" s="430"/>
      <c r="K36" s="430"/>
      <c r="L36" s="225" t="s">
        <v>261</v>
      </c>
      <c r="M36" s="225"/>
      <c r="N36" s="381">
        <v>0</v>
      </c>
      <c r="O36" s="382"/>
      <c r="P36" s="382"/>
      <c r="Q36" s="383"/>
      <c r="R36" s="381">
        <v>0</v>
      </c>
      <c r="S36" s="382"/>
      <c r="T36" s="382"/>
      <c r="U36" s="383"/>
      <c r="V36" s="372"/>
      <c r="W36" s="372"/>
      <c r="X36" s="372"/>
      <c r="Y36" s="299"/>
      <c r="Z36" s="299"/>
      <c r="AA36" s="299"/>
      <c r="AB36" s="299"/>
      <c r="AC36" s="299"/>
      <c r="AD36" s="299"/>
    </row>
    <row r="37" spans="2:30" ht="13.5" customHeight="1">
      <c r="B37" s="379"/>
      <c r="C37" s="379"/>
      <c r="D37" s="379"/>
      <c r="E37" s="430"/>
      <c r="F37" s="430"/>
      <c r="G37" s="430"/>
      <c r="H37" s="430"/>
      <c r="I37" s="430"/>
      <c r="J37" s="430"/>
      <c r="K37" s="430"/>
      <c r="L37" s="225"/>
      <c r="M37" s="225"/>
      <c r="N37" s="384"/>
      <c r="O37" s="385"/>
      <c r="P37" s="385"/>
      <c r="Q37" s="386"/>
      <c r="R37" s="384"/>
      <c r="S37" s="385"/>
      <c r="T37" s="385"/>
      <c r="U37" s="386"/>
      <c r="V37" s="372"/>
      <c r="W37" s="372"/>
      <c r="X37" s="372"/>
      <c r="Y37" s="299"/>
      <c r="Z37" s="299"/>
      <c r="AA37" s="299"/>
      <c r="AB37" s="299"/>
      <c r="AC37" s="299"/>
      <c r="AD37" s="299"/>
    </row>
    <row r="38" spans="2:30" ht="13.5" customHeight="1">
      <c r="B38" s="432"/>
      <c r="C38" s="379"/>
      <c r="D38" s="379"/>
      <c r="E38" s="380"/>
      <c r="F38" s="380"/>
      <c r="G38" s="380"/>
      <c r="H38" s="380"/>
      <c r="I38" s="380"/>
      <c r="J38" s="380"/>
      <c r="K38" s="380"/>
      <c r="L38" s="225"/>
      <c r="M38" s="225"/>
      <c r="N38" s="381"/>
      <c r="O38" s="382"/>
      <c r="P38" s="382"/>
      <c r="Q38" s="383"/>
      <c r="R38" s="381"/>
      <c r="S38" s="382"/>
      <c r="T38" s="382"/>
      <c r="U38" s="383"/>
      <c r="V38" s="372"/>
      <c r="W38" s="372"/>
      <c r="X38" s="372"/>
      <c r="Y38" s="224"/>
      <c r="Z38" s="224"/>
      <c r="AA38" s="224"/>
      <c r="AB38" s="224"/>
      <c r="AC38" s="224"/>
      <c r="AD38" s="224"/>
    </row>
    <row r="39" spans="2:30" ht="13.5" customHeight="1">
      <c r="B39" s="379"/>
      <c r="C39" s="379"/>
      <c r="D39" s="379"/>
      <c r="E39" s="380"/>
      <c r="F39" s="380"/>
      <c r="G39" s="380"/>
      <c r="H39" s="380"/>
      <c r="I39" s="380"/>
      <c r="J39" s="380"/>
      <c r="K39" s="380"/>
      <c r="L39" s="225"/>
      <c r="M39" s="225"/>
      <c r="N39" s="384"/>
      <c r="O39" s="385"/>
      <c r="P39" s="385"/>
      <c r="Q39" s="386"/>
      <c r="R39" s="384"/>
      <c r="S39" s="385"/>
      <c r="T39" s="385"/>
      <c r="U39" s="386"/>
      <c r="V39" s="372"/>
      <c r="W39" s="372"/>
      <c r="X39" s="372"/>
      <c r="Y39" s="224"/>
      <c r="Z39" s="224"/>
      <c r="AA39" s="224"/>
      <c r="AB39" s="224"/>
      <c r="AC39" s="224"/>
      <c r="AD39" s="224"/>
    </row>
    <row r="40" spans="2:30" ht="13.5" customHeight="1">
      <c r="B40" s="432"/>
      <c r="C40" s="379"/>
      <c r="D40" s="379"/>
      <c r="E40" s="434"/>
      <c r="F40" s="435"/>
      <c r="G40" s="435"/>
      <c r="H40" s="435"/>
      <c r="I40" s="435"/>
      <c r="J40" s="435"/>
      <c r="K40" s="436"/>
      <c r="L40" s="225"/>
      <c r="M40" s="225"/>
      <c r="N40" s="381"/>
      <c r="O40" s="382"/>
      <c r="P40" s="382"/>
      <c r="Q40" s="383"/>
      <c r="R40" s="381"/>
      <c r="S40" s="382"/>
      <c r="T40" s="382"/>
      <c r="U40" s="383"/>
      <c r="V40" s="372"/>
      <c r="W40" s="372"/>
      <c r="X40" s="372"/>
      <c r="Y40" s="224"/>
      <c r="Z40" s="224"/>
      <c r="AA40" s="224"/>
      <c r="AB40" s="224"/>
      <c r="AC40" s="224"/>
      <c r="AD40" s="224"/>
    </row>
    <row r="41" spans="2:30" ht="13.5" customHeight="1">
      <c r="B41" s="379"/>
      <c r="C41" s="379"/>
      <c r="D41" s="379"/>
      <c r="E41" s="437"/>
      <c r="F41" s="438"/>
      <c r="G41" s="438"/>
      <c r="H41" s="438"/>
      <c r="I41" s="438"/>
      <c r="J41" s="438"/>
      <c r="K41" s="439"/>
      <c r="L41" s="225"/>
      <c r="M41" s="225"/>
      <c r="N41" s="384"/>
      <c r="O41" s="385"/>
      <c r="P41" s="385"/>
      <c r="Q41" s="386"/>
      <c r="R41" s="384"/>
      <c r="S41" s="385"/>
      <c r="T41" s="385"/>
      <c r="U41" s="386"/>
      <c r="V41" s="372"/>
      <c r="W41" s="372"/>
      <c r="X41" s="372"/>
      <c r="Y41" s="224"/>
      <c r="Z41" s="224"/>
      <c r="AA41" s="224"/>
      <c r="AB41" s="224"/>
      <c r="AC41" s="224"/>
      <c r="AD41" s="224"/>
    </row>
    <row r="42" spans="2:30" ht="13.5" customHeight="1">
      <c r="B42" s="424" t="s">
        <v>383</v>
      </c>
      <c r="C42" s="425"/>
      <c r="D42" s="426"/>
      <c r="E42" s="434" t="s">
        <v>641</v>
      </c>
      <c r="F42" s="435"/>
      <c r="G42" s="435"/>
      <c r="H42" s="435"/>
      <c r="I42" s="435"/>
      <c r="J42" s="435"/>
      <c r="K42" s="436"/>
      <c r="L42" s="225" t="s">
        <v>261</v>
      </c>
      <c r="M42" s="225"/>
      <c r="N42" s="381">
        <v>0</v>
      </c>
      <c r="O42" s="382"/>
      <c r="P42" s="382"/>
      <c r="Q42" s="383"/>
      <c r="R42" s="381">
        <v>0</v>
      </c>
      <c r="S42" s="382"/>
      <c r="T42" s="382"/>
      <c r="U42" s="383"/>
      <c r="V42" s="372"/>
      <c r="W42" s="372"/>
      <c r="X42" s="372"/>
      <c r="Y42" s="224"/>
      <c r="Z42" s="224"/>
      <c r="AA42" s="224"/>
      <c r="AB42" s="224"/>
      <c r="AC42" s="224"/>
      <c r="AD42" s="224"/>
    </row>
    <row r="43" spans="2:30" ht="13.5" customHeight="1">
      <c r="B43" s="427"/>
      <c r="C43" s="428"/>
      <c r="D43" s="429"/>
      <c r="E43" s="437"/>
      <c r="F43" s="438"/>
      <c r="G43" s="438"/>
      <c r="H43" s="438"/>
      <c r="I43" s="438"/>
      <c r="J43" s="438"/>
      <c r="K43" s="439"/>
      <c r="L43" s="225"/>
      <c r="M43" s="225"/>
      <c r="N43" s="384"/>
      <c r="O43" s="385"/>
      <c r="P43" s="385"/>
      <c r="Q43" s="386"/>
      <c r="R43" s="384"/>
      <c r="S43" s="385"/>
      <c r="T43" s="385"/>
      <c r="U43" s="386"/>
      <c r="V43" s="372"/>
      <c r="W43" s="372"/>
      <c r="X43" s="372"/>
      <c r="Y43" s="224"/>
      <c r="Z43" s="224"/>
      <c r="AA43" s="224"/>
      <c r="AB43" s="224"/>
      <c r="AC43" s="224"/>
      <c r="AD43" s="224"/>
    </row>
    <row r="44" spans="2:30" ht="13.5" customHeight="1">
      <c r="B44" s="379" t="s">
        <v>382</v>
      </c>
      <c r="C44" s="379"/>
      <c r="D44" s="379"/>
      <c r="E44" s="380" t="s">
        <v>642</v>
      </c>
      <c r="F44" s="380"/>
      <c r="G44" s="380"/>
      <c r="H44" s="380"/>
      <c r="I44" s="380"/>
      <c r="J44" s="380"/>
      <c r="K44" s="380"/>
      <c r="L44" s="225" t="s">
        <v>261</v>
      </c>
      <c r="M44" s="225"/>
      <c r="N44" s="381">
        <v>0</v>
      </c>
      <c r="O44" s="382"/>
      <c r="P44" s="382"/>
      <c r="Q44" s="383"/>
      <c r="R44" s="381">
        <v>0</v>
      </c>
      <c r="S44" s="382"/>
      <c r="T44" s="382"/>
      <c r="U44" s="383"/>
      <c r="V44" s="372"/>
      <c r="W44" s="372"/>
      <c r="X44" s="372"/>
      <c r="Y44" s="299"/>
      <c r="Z44" s="299"/>
      <c r="AA44" s="299"/>
      <c r="AB44" s="299"/>
      <c r="AC44" s="299"/>
      <c r="AD44" s="299"/>
    </row>
    <row r="45" spans="2:30" ht="13.5" customHeight="1">
      <c r="B45" s="379"/>
      <c r="C45" s="379"/>
      <c r="D45" s="379"/>
      <c r="E45" s="380"/>
      <c r="F45" s="380"/>
      <c r="G45" s="380"/>
      <c r="H45" s="380"/>
      <c r="I45" s="380"/>
      <c r="J45" s="380"/>
      <c r="K45" s="380"/>
      <c r="L45" s="225"/>
      <c r="M45" s="225"/>
      <c r="N45" s="384"/>
      <c r="O45" s="385"/>
      <c r="P45" s="385"/>
      <c r="Q45" s="386"/>
      <c r="R45" s="384"/>
      <c r="S45" s="385"/>
      <c r="T45" s="385"/>
      <c r="U45" s="386"/>
      <c r="V45" s="372"/>
      <c r="W45" s="372"/>
      <c r="X45" s="372"/>
      <c r="Y45" s="299"/>
      <c r="Z45" s="299"/>
      <c r="AA45" s="299"/>
      <c r="AB45" s="299"/>
      <c r="AC45" s="299"/>
      <c r="AD45" s="299"/>
    </row>
    <row r="46" spans="2:30" ht="13.5" customHeight="1">
      <c r="B46" s="432" t="s">
        <v>644</v>
      </c>
      <c r="C46" s="379"/>
      <c r="D46" s="379"/>
      <c r="E46" s="380" t="s">
        <v>645</v>
      </c>
      <c r="F46" s="380"/>
      <c r="G46" s="380"/>
      <c r="H46" s="380"/>
      <c r="I46" s="380"/>
      <c r="J46" s="380"/>
      <c r="K46" s="380"/>
      <c r="L46" s="227"/>
      <c r="M46" s="229"/>
      <c r="N46" s="381">
        <v>0</v>
      </c>
      <c r="O46" s="382"/>
      <c r="P46" s="382"/>
      <c r="Q46" s="383"/>
      <c r="R46" s="381">
        <v>0</v>
      </c>
      <c r="S46" s="382"/>
      <c r="T46" s="382"/>
      <c r="U46" s="383"/>
      <c r="V46" s="372"/>
      <c r="W46" s="372"/>
      <c r="X46" s="372"/>
      <c r="Y46" s="224"/>
      <c r="Z46" s="224"/>
      <c r="AA46" s="224"/>
      <c r="AB46" s="224"/>
      <c r="AC46" s="224"/>
      <c r="AD46" s="224"/>
    </row>
    <row r="47" spans="2:30" ht="13.5" customHeight="1">
      <c r="B47" s="379"/>
      <c r="C47" s="379"/>
      <c r="D47" s="379"/>
      <c r="E47" s="380"/>
      <c r="F47" s="380"/>
      <c r="G47" s="380"/>
      <c r="H47" s="380"/>
      <c r="I47" s="380"/>
      <c r="J47" s="380"/>
      <c r="K47" s="380"/>
      <c r="L47" s="230"/>
      <c r="M47" s="232"/>
      <c r="N47" s="384"/>
      <c r="O47" s="385"/>
      <c r="P47" s="385"/>
      <c r="Q47" s="386"/>
      <c r="R47" s="384"/>
      <c r="S47" s="385"/>
      <c r="T47" s="385"/>
      <c r="U47" s="386"/>
      <c r="V47" s="372"/>
      <c r="W47" s="372"/>
      <c r="X47" s="372"/>
      <c r="Y47" s="224"/>
      <c r="Z47" s="224"/>
      <c r="AA47" s="224"/>
      <c r="AB47" s="224"/>
      <c r="AC47" s="224"/>
      <c r="AD47" s="224"/>
    </row>
    <row r="48" spans="2:30" ht="13.5" customHeight="1">
      <c r="B48" s="379"/>
      <c r="C48" s="379"/>
      <c r="D48" s="379"/>
      <c r="E48" s="380"/>
      <c r="F48" s="380"/>
      <c r="G48" s="380"/>
      <c r="H48" s="380"/>
      <c r="I48" s="380"/>
      <c r="J48" s="380"/>
      <c r="K48" s="380"/>
      <c r="L48" s="225"/>
      <c r="M48" s="225"/>
      <c r="N48" s="381"/>
      <c r="O48" s="382"/>
      <c r="P48" s="382"/>
      <c r="Q48" s="383"/>
      <c r="R48" s="381"/>
      <c r="S48" s="382"/>
      <c r="T48" s="382"/>
      <c r="U48" s="383"/>
      <c r="V48" s="372"/>
      <c r="W48" s="372"/>
      <c r="X48" s="372"/>
      <c r="Y48" s="299"/>
      <c r="Z48" s="299"/>
      <c r="AA48" s="299"/>
      <c r="AB48" s="299"/>
      <c r="AC48" s="299"/>
      <c r="AD48" s="299"/>
    </row>
    <row r="49" spans="2:30" ht="13.5" customHeight="1">
      <c r="B49" s="379"/>
      <c r="C49" s="379"/>
      <c r="D49" s="379"/>
      <c r="E49" s="380"/>
      <c r="F49" s="380"/>
      <c r="G49" s="380"/>
      <c r="H49" s="380"/>
      <c r="I49" s="380"/>
      <c r="J49" s="380"/>
      <c r="K49" s="380"/>
      <c r="L49" s="225"/>
      <c r="M49" s="225"/>
      <c r="N49" s="384"/>
      <c r="O49" s="385"/>
      <c r="P49" s="385"/>
      <c r="Q49" s="386"/>
      <c r="R49" s="384"/>
      <c r="S49" s="385"/>
      <c r="T49" s="385"/>
      <c r="U49" s="386"/>
      <c r="V49" s="372"/>
      <c r="W49" s="372"/>
      <c r="X49" s="372"/>
      <c r="Y49" s="299"/>
      <c r="Z49" s="299"/>
      <c r="AA49" s="299"/>
      <c r="AB49" s="299"/>
      <c r="AC49" s="299"/>
      <c r="AD49" s="299"/>
    </row>
    <row r="50" spans="2:30" ht="13.5" customHeight="1">
      <c r="B50" s="379"/>
      <c r="C50" s="379"/>
      <c r="D50" s="379"/>
      <c r="E50" s="380"/>
      <c r="F50" s="380"/>
      <c r="G50" s="380"/>
      <c r="H50" s="380"/>
      <c r="I50" s="380"/>
      <c r="J50" s="380"/>
      <c r="K50" s="380"/>
      <c r="L50" s="225"/>
      <c r="M50" s="225"/>
      <c r="N50" s="381"/>
      <c r="O50" s="382"/>
      <c r="P50" s="382"/>
      <c r="Q50" s="383"/>
      <c r="R50" s="381"/>
      <c r="S50" s="382"/>
      <c r="T50" s="382"/>
      <c r="U50" s="383"/>
      <c r="V50" s="372"/>
      <c r="W50" s="372"/>
      <c r="X50" s="372"/>
      <c r="Y50" s="344"/>
      <c r="Z50" s="344"/>
      <c r="AA50" s="344"/>
      <c r="AB50" s="344"/>
      <c r="AC50" s="344"/>
      <c r="AD50" s="344"/>
    </row>
    <row r="51" spans="2:30" ht="13.5" customHeight="1">
      <c r="B51" s="379"/>
      <c r="C51" s="379"/>
      <c r="D51" s="379"/>
      <c r="E51" s="380"/>
      <c r="F51" s="380"/>
      <c r="G51" s="380"/>
      <c r="H51" s="380"/>
      <c r="I51" s="380"/>
      <c r="J51" s="380"/>
      <c r="K51" s="380"/>
      <c r="L51" s="225"/>
      <c r="M51" s="225"/>
      <c r="N51" s="384"/>
      <c r="O51" s="385"/>
      <c r="P51" s="385"/>
      <c r="Q51" s="386"/>
      <c r="R51" s="384"/>
      <c r="S51" s="385"/>
      <c r="T51" s="385"/>
      <c r="U51" s="386"/>
      <c r="V51" s="372"/>
      <c r="W51" s="372"/>
      <c r="X51" s="372"/>
      <c r="Y51" s="344"/>
      <c r="Z51" s="344"/>
      <c r="AA51" s="344"/>
      <c r="AB51" s="344"/>
      <c r="AC51" s="344"/>
      <c r="AD51" s="344"/>
    </row>
    <row r="52" spans="2:30" ht="13.5" customHeight="1">
      <c r="B52" s="379" t="s">
        <v>381</v>
      </c>
      <c r="C52" s="379"/>
      <c r="D52" s="379"/>
      <c r="E52" s="380" t="s">
        <v>380</v>
      </c>
      <c r="F52" s="380"/>
      <c r="G52" s="380"/>
      <c r="H52" s="380"/>
      <c r="I52" s="380"/>
      <c r="J52" s="380"/>
      <c r="K52" s="380"/>
      <c r="L52" s="227" t="s">
        <v>261</v>
      </c>
      <c r="M52" s="229"/>
      <c r="N52" s="381">
        <v>0</v>
      </c>
      <c r="O52" s="382"/>
      <c r="P52" s="382"/>
      <c r="Q52" s="383"/>
      <c r="R52" s="381">
        <v>0</v>
      </c>
      <c r="S52" s="382"/>
      <c r="T52" s="382"/>
      <c r="U52" s="383"/>
      <c r="V52" s="372"/>
      <c r="W52" s="372"/>
      <c r="X52" s="372"/>
      <c r="Y52" s="224"/>
      <c r="Z52" s="224"/>
      <c r="AA52" s="224"/>
      <c r="AB52" s="224"/>
      <c r="AC52" s="224"/>
      <c r="AD52" s="224"/>
    </row>
    <row r="53" spans="2:30" ht="13.5" customHeight="1">
      <c r="B53" s="379"/>
      <c r="C53" s="379"/>
      <c r="D53" s="379"/>
      <c r="E53" s="380"/>
      <c r="F53" s="380"/>
      <c r="G53" s="380"/>
      <c r="H53" s="380"/>
      <c r="I53" s="380"/>
      <c r="J53" s="380"/>
      <c r="K53" s="380"/>
      <c r="L53" s="230"/>
      <c r="M53" s="232"/>
      <c r="N53" s="384"/>
      <c r="O53" s="385"/>
      <c r="P53" s="385"/>
      <c r="Q53" s="386"/>
      <c r="R53" s="384"/>
      <c r="S53" s="385"/>
      <c r="T53" s="385"/>
      <c r="U53" s="386"/>
      <c r="V53" s="372"/>
      <c r="W53" s="372"/>
      <c r="X53" s="372"/>
      <c r="Y53" s="224"/>
      <c r="Z53" s="224"/>
      <c r="AA53" s="224"/>
      <c r="AB53" s="224"/>
      <c r="AC53" s="224"/>
      <c r="AD53" s="224"/>
    </row>
    <row r="54" spans="2:30" ht="13.5" customHeight="1">
      <c r="B54" s="424" t="s">
        <v>379</v>
      </c>
      <c r="C54" s="425"/>
      <c r="D54" s="426"/>
      <c r="E54" s="440" t="s">
        <v>646</v>
      </c>
      <c r="F54" s="441"/>
      <c r="G54" s="441"/>
      <c r="H54" s="441"/>
      <c r="I54" s="441"/>
      <c r="J54" s="441"/>
      <c r="K54" s="442"/>
      <c r="L54" s="227" t="s">
        <v>261</v>
      </c>
      <c r="M54" s="229"/>
      <c r="N54" s="381">
        <v>0</v>
      </c>
      <c r="O54" s="382"/>
      <c r="P54" s="382"/>
      <c r="Q54" s="383"/>
      <c r="R54" s="381">
        <v>0</v>
      </c>
      <c r="S54" s="382"/>
      <c r="T54" s="382"/>
      <c r="U54" s="383"/>
      <c r="V54" s="372"/>
      <c r="W54" s="372"/>
      <c r="X54" s="372"/>
      <c r="Y54" s="224"/>
      <c r="Z54" s="224"/>
      <c r="AA54" s="224"/>
      <c r="AB54" s="224"/>
      <c r="AC54" s="224"/>
      <c r="AD54" s="224"/>
    </row>
    <row r="55" spans="2:30" ht="13.5" customHeight="1">
      <c r="B55" s="427"/>
      <c r="C55" s="428"/>
      <c r="D55" s="429"/>
      <c r="E55" s="443"/>
      <c r="F55" s="444"/>
      <c r="G55" s="444"/>
      <c r="H55" s="444"/>
      <c r="I55" s="444"/>
      <c r="J55" s="444"/>
      <c r="K55" s="445"/>
      <c r="L55" s="230"/>
      <c r="M55" s="232"/>
      <c r="N55" s="384"/>
      <c r="O55" s="385"/>
      <c r="P55" s="385"/>
      <c r="Q55" s="386"/>
      <c r="R55" s="384"/>
      <c r="S55" s="385"/>
      <c r="T55" s="385"/>
      <c r="U55" s="386"/>
      <c r="V55" s="372"/>
      <c r="W55" s="372"/>
      <c r="X55" s="372"/>
      <c r="Y55" s="224"/>
      <c r="Z55" s="224"/>
      <c r="AA55" s="224"/>
      <c r="AB55" s="224"/>
      <c r="AC55" s="224"/>
      <c r="AD55" s="224"/>
    </row>
    <row r="56" spans="2:30" ht="13.5" customHeight="1">
      <c r="B56" s="424" t="s">
        <v>378</v>
      </c>
      <c r="C56" s="425"/>
      <c r="D56" s="426"/>
      <c r="E56" s="440" t="s">
        <v>647</v>
      </c>
      <c r="F56" s="441"/>
      <c r="G56" s="441"/>
      <c r="H56" s="441"/>
      <c r="I56" s="441"/>
      <c r="J56" s="441"/>
      <c r="K56" s="442"/>
      <c r="L56" s="227" t="s">
        <v>261</v>
      </c>
      <c r="M56" s="229"/>
      <c r="N56" s="381">
        <v>0</v>
      </c>
      <c r="O56" s="382"/>
      <c r="P56" s="382"/>
      <c r="Q56" s="383"/>
      <c r="R56" s="381">
        <v>0</v>
      </c>
      <c r="S56" s="382"/>
      <c r="T56" s="382"/>
      <c r="U56" s="383"/>
      <c r="V56" s="372"/>
      <c r="W56" s="372"/>
      <c r="X56" s="372"/>
      <c r="Y56" s="299"/>
      <c r="Z56" s="299"/>
      <c r="AA56" s="299"/>
      <c r="AB56" s="299"/>
      <c r="AC56" s="299"/>
      <c r="AD56" s="299"/>
    </row>
    <row r="57" spans="2:30" ht="13.5" customHeight="1">
      <c r="B57" s="427"/>
      <c r="C57" s="428"/>
      <c r="D57" s="429"/>
      <c r="E57" s="443"/>
      <c r="F57" s="444"/>
      <c r="G57" s="444"/>
      <c r="H57" s="444"/>
      <c r="I57" s="444"/>
      <c r="J57" s="444"/>
      <c r="K57" s="445"/>
      <c r="L57" s="230"/>
      <c r="M57" s="232"/>
      <c r="N57" s="384"/>
      <c r="O57" s="385"/>
      <c r="P57" s="385"/>
      <c r="Q57" s="386"/>
      <c r="R57" s="384"/>
      <c r="S57" s="385"/>
      <c r="T57" s="385"/>
      <c r="U57" s="386"/>
      <c r="V57" s="372"/>
      <c r="W57" s="372"/>
      <c r="X57" s="372"/>
      <c r="Y57" s="299"/>
      <c r="Z57" s="299"/>
      <c r="AA57" s="299"/>
      <c r="AB57" s="299"/>
      <c r="AC57" s="299"/>
      <c r="AD57" s="299"/>
    </row>
    <row r="58" spans="2:30" ht="13.5" customHeight="1">
      <c r="B58" s="432" t="s">
        <v>649</v>
      </c>
      <c r="C58" s="379"/>
      <c r="D58" s="379"/>
      <c r="E58" s="380" t="s">
        <v>650</v>
      </c>
      <c r="F58" s="380"/>
      <c r="G58" s="380"/>
      <c r="H58" s="380"/>
      <c r="I58" s="380"/>
      <c r="J58" s="380"/>
      <c r="K58" s="380"/>
      <c r="L58" s="227" t="s">
        <v>261</v>
      </c>
      <c r="M58" s="229"/>
      <c r="N58" s="381">
        <v>0</v>
      </c>
      <c r="O58" s="382"/>
      <c r="P58" s="382"/>
      <c r="Q58" s="383"/>
      <c r="R58" s="381">
        <v>0</v>
      </c>
      <c r="S58" s="382"/>
      <c r="T58" s="382"/>
      <c r="U58" s="383"/>
      <c r="V58" s="372"/>
      <c r="W58" s="372"/>
      <c r="X58" s="372"/>
      <c r="Y58" s="344" t="s">
        <v>653</v>
      </c>
      <c r="Z58" s="344"/>
      <c r="AA58" s="344"/>
      <c r="AB58" s="344"/>
      <c r="AC58" s="344"/>
      <c r="AD58" s="344"/>
    </row>
    <row r="59" spans="2:30" ht="13.5" customHeight="1">
      <c r="B59" s="379"/>
      <c r="C59" s="379"/>
      <c r="D59" s="379"/>
      <c r="E59" s="380"/>
      <c r="F59" s="380"/>
      <c r="G59" s="380"/>
      <c r="H59" s="380"/>
      <c r="I59" s="380"/>
      <c r="J59" s="380"/>
      <c r="K59" s="380"/>
      <c r="L59" s="230"/>
      <c r="M59" s="232"/>
      <c r="N59" s="384"/>
      <c r="O59" s="385"/>
      <c r="P59" s="385"/>
      <c r="Q59" s="386"/>
      <c r="R59" s="384"/>
      <c r="S59" s="385"/>
      <c r="T59" s="385"/>
      <c r="U59" s="386"/>
      <c r="V59" s="372"/>
      <c r="W59" s="372"/>
      <c r="X59" s="372"/>
      <c r="Y59" s="344"/>
      <c r="Z59" s="344"/>
      <c r="AA59" s="344"/>
      <c r="AB59" s="344"/>
      <c r="AC59" s="344"/>
      <c r="AD59" s="344"/>
    </row>
    <row r="60" spans="2:30" ht="13.5" customHeight="1">
      <c r="B60" s="446"/>
      <c r="C60" s="425"/>
      <c r="D60" s="426"/>
      <c r="E60" s="380"/>
      <c r="F60" s="380"/>
      <c r="G60" s="380"/>
      <c r="H60" s="380"/>
      <c r="I60" s="380"/>
      <c r="J60" s="380"/>
      <c r="K60" s="380"/>
      <c r="L60" s="227"/>
      <c r="M60" s="229"/>
      <c r="N60" s="381"/>
      <c r="O60" s="382"/>
      <c r="P60" s="382"/>
      <c r="Q60" s="383"/>
      <c r="R60" s="381"/>
      <c r="S60" s="382"/>
      <c r="T60" s="382"/>
      <c r="U60" s="383"/>
      <c r="V60" s="372"/>
      <c r="W60" s="372"/>
      <c r="X60" s="372"/>
      <c r="Y60" s="299"/>
      <c r="Z60" s="299"/>
      <c r="AA60" s="299"/>
      <c r="AB60" s="299"/>
      <c r="AC60" s="299"/>
      <c r="AD60" s="299"/>
    </row>
    <row r="61" spans="2:30" ht="13.5" customHeight="1">
      <c r="B61" s="427"/>
      <c r="C61" s="428"/>
      <c r="D61" s="429"/>
      <c r="E61" s="380"/>
      <c r="F61" s="380"/>
      <c r="G61" s="380"/>
      <c r="H61" s="380"/>
      <c r="I61" s="380"/>
      <c r="J61" s="380"/>
      <c r="K61" s="380"/>
      <c r="L61" s="230"/>
      <c r="M61" s="232"/>
      <c r="N61" s="384"/>
      <c r="O61" s="385"/>
      <c r="P61" s="385"/>
      <c r="Q61" s="386"/>
      <c r="R61" s="384"/>
      <c r="S61" s="385"/>
      <c r="T61" s="385"/>
      <c r="U61" s="386"/>
      <c r="V61" s="372"/>
      <c r="W61" s="372"/>
      <c r="X61" s="372"/>
      <c r="Y61" s="299"/>
      <c r="Z61" s="299"/>
      <c r="AA61" s="299"/>
      <c r="AB61" s="299"/>
      <c r="AC61" s="299"/>
      <c r="AD61" s="299"/>
    </row>
    <row r="62" spans="2:30" ht="13.5" customHeight="1">
      <c r="B62" s="379" t="s">
        <v>377</v>
      </c>
      <c r="C62" s="379"/>
      <c r="D62" s="379"/>
      <c r="E62" s="447" t="s">
        <v>376</v>
      </c>
      <c r="F62" s="447"/>
      <c r="G62" s="447"/>
      <c r="H62" s="447"/>
      <c r="I62" s="447"/>
      <c r="J62" s="447"/>
      <c r="K62" s="447"/>
      <c r="L62" s="225" t="s">
        <v>261</v>
      </c>
      <c r="M62" s="225"/>
      <c r="N62" s="381">
        <v>0</v>
      </c>
      <c r="O62" s="382"/>
      <c r="P62" s="382"/>
      <c r="Q62" s="383"/>
      <c r="R62" s="381">
        <v>0</v>
      </c>
      <c r="S62" s="382"/>
      <c r="T62" s="382"/>
      <c r="U62" s="383"/>
      <c r="V62" s="372"/>
      <c r="W62" s="372"/>
      <c r="X62" s="372"/>
      <c r="Y62" s="299"/>
      <c r="Z62" s="299"/>
      <c r="AA62" s="299"/>
      <c r="AB62" s="299"/>
      <c r="AC62" s="299"/>
      <c r="AD62" s="299"/>
    </row>
    <row r="63" spans="2:30" ht="13.5" customHeight="1">
      <c r="B63" s="379"/>
      <c r="C63" s="379"/>
      <c r="D63" s="379"/>
      <c r="E63" s="447"/>
      <c r="F63" s="447"/>
      <c r="G63" s="447"/>
      <c r="H63" s="447"/>
      <c r="I63" s="447"/>
      <c r="J63" s="447"/>
      <c r="K63" s="447"/>
      <c r="L63" s="225"/>
      <c r="M63" s="225"/>
      <c r="N63" s="384"/>
      <c r="O63" s="385"/>
      <c r="P63" s="385"/>
      <c r="Q63" s="386"/>
      <c r="R63" s="384"/>
      <c r="S63" s="385"/>
      <c r="T63" s="385"/>
      <c r="U63" s="386"/>
      <c r="V63" s="372"/>
      <c r="W63" s="372"/>
      <c r="X63" s="372"/>
      <c r="Y63" s="299"/>
      <c r="Z63" s="299"/>
      <c r="AA63" s="299"/>
      <c r="AB63" s="299"/>
      <c r="AC63" s="299"/>
      <c r="AD63" s="299"/>
    </row>
    <row r="64" spans="2:30" ht="13.5" customHeight="1">
      <c r="B64" s="379" t="s">
        <v>375</v>
      </c>
      <c r="C64" s="379"/>
      <c r="D64" s="379"/>
      <c r="E64" s="430" t="s">
        <v>651</v>
      </c>
      <c r="F64" s="430"/>
      <c r="G64" s="430"/>
      <c r="H64" s="430"/>
      <c r="I64" s="430"/>
      <c r="J64" s="430"/>
      <c r="K64" s="430"/>
      <c r="L64" s="225" t="s">
        <v>373</v>
      </c>
      <c r="M64" s="225"/>
      <c r="N64" s="381">
        <v>0</v>
      </c>
      <c r="O64" s="382"/>
      <c r="P64" s="382"/>
      <c r="Q64" s="383"/>
      <c r="R64" s="381">
        <v>0</v>
      </c>
      <c r="S64" s="382"/>
      <c r="T64" s="382"/>
      <c r="U64" s="383"/>
      <c r="V64" s="372"/>
      <c r="W64" s="372"/>
      <c r="X64" s="372"/>
      <c r="Y64" s="224"/>
      <c r="Z64" s="224"/>
      <c r="AA64" s="224"/>
      <c r="AB64" s="224"/>
      <c r="AC64" s="224"/>
      <c r="AD64" s="224"/>
    </row>
    <row r="65" spans="2:30" ht="13.5" customHeight="1">
      <c r="B65" s="379"/>
      <c r="C65" s="379"/>
      <c r="D65" s="379"/>
      <c r="E65" s="430"/>
      <c r="F65" s="430"/>
      <c r="G65" s="430"/>
      <c r="H65" s="430"/>
      <c r="I65" s="430"/>
      <c r="J65" s="430"/>
      <c r="K65" s="430"/>
      <c r="L65" s="225"/>
      <c r="M65" s="225"/>
      <c r="N65" s="384"/>
      <c r="O65" s="385"/>
      <c r="P65" s="385"/>
      <c r="Q65" s="386"/>
      <c r="R65" s="384"/>
      <c r="S65" s="385"/>
      <c r="T65" s="385"/>
      <c r="U65" s="386"/>
      <c r="V65" s="372"/>
      <c r="W65" s="372"/>
      <c r="X65" s="372"/>
      <c r="Y65" s="224"/>
      <c r="Z65" s="224"/>
      <c r="AA65" s="224"/>
      <c r="AB65" s="224"/>
      <c r="AC65" s="224"/>
      <c r="AD65" s="224"/>
    </row>
    <row r="66" spans="2:30" ht="13.5" customHeight="1">
      <c r="B66" s="379" t="s">
        <v>374</v>
      </c>
      <c r="C66" s="379"/>
      <c r="D66" s="379"/>
      <c r="E66" s="430" t="s">
        <v>652</v>
      </c>
      <c r="F66" s="430"/>
      <c r="G66" s="430"/>
      <c r="H66" s="430"/>
      <c r="I66" s="430"/>
      <c r="J66" s="430"/>
      <c r="K66" s="430"/>
      <c r="L66" s="225" t="s">
        <v>373</v>
      </c>
      <c r="M66" s="225"/>
      <c r="N66" s="381">
        <v>0</v>
      </c>
      <c r="O66" s="382"/>
      <c r="P66" s="382"/>
      <c r="Q66" s="383"/>
      <c r="R66" s="381">
        <v>0</v>
      </c>
      <c r="S66" s="382"/>
      <c r="T66" s="382"/>
      <c r="U66" s="383"/>
      <c r="V66" s="372"/>
      <c r="W66" s="372"/>
      <c r="X66" s="372"/>
      <c r="Y66" s="224"/>
      <c r="Z66" s="224"/>
      <c r="AA66" s="224"/>
      <c r="AB66" s="224"/>
      <c r="AC66" s="224"/>
      <c r="AD66" s="224"/>
    </row>
    <row r="67" spans="2:30" ht="13.5" customHeight="1">
      <c r="B67" s="379"/>
      <c r="C67" s="379"/>
      <c r="D67" s="379"/>
      <c r="E67" s="430"/>
      <c r="F67" s="430"/>
      <c r="G67" s="430"/>
      <c r="H67" s="430"/>
      <c r="I67" s="430"/>
      <c r="J67" s="430"/>
      <c r="K67" s="430"/>
      <c r="L67" s="225"/>
      <c r="M67" s="225"/>
      <c r="N67" s="384"/>
      <c r="O67" s="385"/>
      <c r="P67" s="385"/>
      <c r="Q67" s="386"/>
      <c r="R67" s="384"/>
      <c r="S67" s="385"/>
      <c r="T67" s="385"/>
      <c r="U67" s="386"/>
      <c r="V67" s="372"/>
      <c r="W67" s="372"/>
      <c r="X67" s="372"/>
      <c r="Y67" s="224"/>
      <c r="Z67" s="224"/>
      <c r="AA67" s="224"/>
      <c r="AB67" s="224"/>
      <c r="AC67" s="224"/>
      <c r="AD67" s="224"/>
    </row>
    <row r="68" spans="2:30" ht="13.5" customHeight="1">
      <c r="B68" s="379"/>
      <c r="C68" s="379"/>
      <c r="D68" s="379"/>
      <c r="E68" s="380"/>
      <c r="F68" s="380"/>
      <c r="G68" s="380"/>
      <c r="H68" s="380"/>
      <c r="I68" s="380"/>
      <c r="J68" s="380"/>
      <c r="K68" s="380"/>
      <c r="L68" s="225"/>
      <c r="M68" s="225"/>
      <c r="N68" s="381"/>
      <c r="O68" s="382"/>
      <c r="P68" s="382"/>
      <c r="Q68" s="383"/>
      <c r="R68" s="381"/>
      <c r="S68" s="382"/>
      <c r="T68" s="382"/>
      <c r="U68" s="383"/>
      <c r="V68" s="372"/>
      <c r="W68" s="372"/>
      <c r="X68" s="372"/>
      <c r="Y68" s="224"/>
      <c r="Z68" s="224"/>
      <c r="AA68" s="224"/>
      <c r="AB68" s="224"/>
      <c r="AC68" s="224"/>
      <c r="AD68" s="224"/>
    </row>
    <row r="69" spans="2:30" ht="13.5" customHeight="1">
      <c r="B69" s="379"/>
      <c r="C69" s="379"/>
      <c r="D69" s="379"/>
      <c r="E69" s="380"/>
      <c r="F69" s="380"/>
      <c r="G69" s="380"/>
      <c r="H69" s="380"/>
      <c r="I69" s="380"/>
      <c r="J69" s="380"/>
      <c r="K69" s="380"/>
      <c r="L69" s="225"/>
      <c r="M69" s="225"/>
      <c r="N69" s="384"/>
      <c r="O69" s="385"/>
      <c r="P69" s="385"/>
      <c r="Q69" s="386"/>
      <c r="R69" s="384"/>
      <c r="S69" s="385"/>
      <c r="T69" s="385"/>
      <c r="U69" s="386"/>
      <c r="V69" s="372"/>
      <c r="W69" s="372"/>
      <c r="X69" s="372"/>
      <c r="Y69" s="224"/>
      <c r="Z69" s="224"/>
      <c r="AA69" s="224"/>
      <c r="AB69" s="224"/>
      <c r="AC69" s="224"/>
      <c r="AD69" s="224"/>
    </row>
    <row r="70" spans="2:30" ht="14.7" customHeight="1">
      <c r="B70" s="424"/>
      <c r="C70" s="425"/>
      <c r="D70" s="426"/>
      <c r="E70" s="451"/>
      <c r="F70" s="452"/>
      <c r="G70" s="452"/>
      <c r="H70" s="452"/>
      <c r="I70" s="452"/>
      <c r="J70" s="452"/>
      <c r="K70" s="453"/>
      <c r="L70" s="227"/>
      <c r="M70" s="229"/>
      <c r="N70" s="366"/>
      <c r="O70" s="370"/>
      <c r="P70" s="370"/>
      <c r="Q70" s="367"/>
      <c r="R70" s="366"/>
      <c r="S70" s="370"/>
      <c r="T70" s="370"/>
      <c r="U70" s="367"/>
      <c r="V70" s="457"/>
      <c r="W70" s="184"/>
      <c r="X70" s="184"/>
      <c r="Y70" s="344"/>
      <c r="Z70" s="344"/>
      <c r="AA70" s="344"/>
      <c r="AB70" s="344"/>
      <c r="AC70" s="344"/>
      <c r="AD70" s="344"/>
    </row>
    <row r="71" spans="2:30" ht="13.5" customHeight="1">
      <c r="B71" s="427"/>
      <c r="C71" s="428"/>
      <c r="D71" s="429"/>
      <c r="E71" s="454"/>
      <c r="F71" s="455"/>
      <c r="G71" s="455"/>
      <c r="H71" s="455"/>
      <c r="I71" s="455"/>
      <c r="J71" s="455"/>
      <c r="K71" s="456"/>
      <c r="L71" s="230"/>
      <c r="M71" s="232"/>
      <c r="N71" s="368"/>
      <c r="O71" s="371"/>
      <c r="P71" s="371"/>
      <c r="Q71" s="369"/>
      <c r="R71" s="368"/>
      <c r="S71" s="371"/>
      <c r="T71" s="371"/>
      <c r="U71" s="369"/>
      <c r="V71" s="457"/>
      <c r="W71" s="184"/>
      <c r="X71" s="184"/>
      <c r="Y71" s="344"/>
      <c r="Z71" s="344"/>
      <c r="AA71" s="344"/>
      <c r="AB71" s="344"/>
      <c r="AC71" s="344"/>
      <c r="AD71" s="344"/>
    </row>
    <row r="72" spans="2:30">
      <c r="C72" s="22" t="s">
        <v>701</v>
      </c>
      <c r="Y72" s="458" t="s">
        <v>372</v>
      </c>
      <c r="Z72" s="458"/>
      <c r="AA72" s="458"/>
      <c r="AB72" s="458"/>
      <c r="AC72" s="458"/>
      <c r="AD72" s="458"/>
    </row>
    <row r="73" spans="2:30">
      <c r="B73" s="22" t="s">
        <v>588</v>
      </c>
      <c r="Y73" s="459"/>
      <c r="Z73" s="459"/>
      <c r="AA73" s="459"/>
      <c r="AB73" s="459"/>
      <c r="AC73" s="459"/>
      <c r="AD73" s="459"/>
    </row>
    <row r="75" spans="2:30" ht="19.2">
      <c r="B75" s="708" t="str">
        <f>$B$2</f>
        <v>2026年</v>
      </c>
      <c r="C75" s="708"/>
      <c r="D75" s="708"/>
      <c r="E75" s="708"/>
      <c r="G75" s="460" t="str">
        <f>$G$2</f>
        <v/>
      </c>
      <c r="H75" s="460"/>
      <c r="I75" s="460"/>
      <c r="J75" s="23" t="s">
        <v>300</v>
      </c>
      <c r="K75" s="23"/>
      <c r="L75" s="23"/>
      <c r="M75" s="23"/>
      <c r="N75" s="24"/>
      <c r="O75" s="24"/>
      <c r="P75" s="24"/>
      <c r="Q75" s="24"/>
      <c r="R75" s="24"/>
      <c r="S75" s="24"/>
      <c r="T75" s="24"/>
      <c r="U75" s="24"/>
      <c r="V75" s="24"/>
      <c r="W75" s="24"/>
      <c r="X75" s="24"/>
      <c r="AC75" s="334" t="s">
        <v>371</v>
      </c>
      <c r="AD75" s="334"/>
    </row>
    <row r="77" spans="2:30" ht="13.2" customHeight="1">
      <c r="B77" s="408">
        <f>$B$4</f>
        <v>46133</v>
      </c>
      <c r="C77" s="409"/>
      <c r="D77" s="409"/>
      <c r="E77" s="409"/>
      <c r="F77" s="409"/>
      <c r="G77" s="409"/>
      <c r="H77" s="409"/>
      <c r="I77" s="409"/>
      <c r="J77" s="409"/>
      <c r="K77" s="409"/>
      <c r="L77" s="409"/>
      <c r="M77" s="409"/>
      <c r="N77" s="25"/>
      <c r="Q77" s="366" t="str">
        <f>$Q$4</f>
        <v>CC</v>
      </c>
      <c r="R77" s="367"/>
      <c r="S77" s="366" t="str">
        <f>$S$4</f>
        <v>CCｾﾝﾀｰ長</v>
      </c>
      <c r="T77" s="370"/>
      <c r="U77" s="367"/>
      <c r="V77" s="373" t="str">
        <f>$V$4</f>
        <v>承認者</v>
      </c>
      <c r="W77" s="374"/>
      <c r="X77" s="375"/>
      <c r="Y77" s="366" t="str">
        <f>$Y$4</f>
        <v>製造課</v>
      </c>
      <c r="Z77" s="370"/>
      <c r="AA77" s="367"/>
      <c r="AB77" s="366" t="str">
        <f>$AB$4</f>
        <v>業務課</v>
      </c>
      <c r="AC77" s="370"/>
      <c r="AD77" s="367"/>
    </row>
    <row r="78" spans="2:30" ht="13.2" customHeight="1">
      <c r="B78" s="410"/>
      <c r="C78" s="411"/>
      <c r="D78" s="411"/>
      <c r="E78" s="411"/>
      <c r="F78" s="411"/>
      <c r="G78" s="411"/>
      <c r="H78" s="411"/>
      <c r="I78" s="411"/>
      <c r="J78" s="411"/>
      <c r="K78" s="411"/>
      <c r="L78" s="411"/>
      <c r="M78" s="411"/>
      <c r="N78" s="26"/>
      <c r="Q78" s="368"/>
      <c r="R78" s="369"/>
      <c r="S78" s="368"/>
      <c r="T78" s="371"/>
      <c r="U78" s="369"/>
      <c r="V78" s="448" t="str">
        <f>$V$5</f>
        <v>（工場長）</v>
      </c>
      <c r="W78" s="449"/>
      <c r="X78" s="450"/>
      <c r="Y78" s="368"/>
      <c r="Z78" s="371"/>
      <c r="AA78" s="369"/>
      <c r="AB78" s="368"/>
      <c r="AC78" s="371"/>
      <c r="AD78" s="369"/>
    </row>
    <row r="79" spans="2:30" ht="13.2" customHeight="1">
      <c r="B79" s="184" t="str">
        <f>IF($B$6="","",$B$6)</f>
        <v>首都圏オフィス</v>
      </c>
      <c r="C79" s="184"/>
      <c r="D79" s="184"/>
      <c r="E79" s="184"/>
      <c r="F79" s="184"/>
      <c r="G79" s="184"/>
      <c r="H79" s="184"/>
      <c r="I79" s="465" t="str">
        <f>$I$6</f>
        <v>承認者</v>
      </c>
      <c r="J79" s="396" t="e" vm="1">
        <v>#VALUE!</v>
      </c>
      <c r="K79" s="396"/>
      <c r="L79" s="466" t="str">
        <f>$L$6</f>
        <v>担当者</v>
      </c>
      <c r="M79" s="30"/>
      <c r="N79" s="31"/>
      <c r="Q79" s="27"/>
      <c r="R79" s="28"/>
      <c r="S79" s="366" t="str">
        <f>IF($S$6="","",$S$6)</f>
        <v/>
      </c>
      <c r="T79" s="370"/>
      <c r="U79" s="367"/>
      <c r="V79" s="366" t="str">
        <f>IF($V$6="","",$V$6)</f>
        <v/>
      </c>
      <c r="W79" s="370"/>
      <c r="X79" s="367"/>
      <c r="Y79" s="366" t="str">
        <f>IF($Y$6="","",$Y$6)</f>
        <v/>
      </c>
      <c r="Z79" s="370"/>
      <c r="AA79" s="367"/>
      <c r="AB79" s="366" t="str">
        <f>IF($AB$6="","",$AB$6)</f>
        <v/>
      </c>
      <c r="AC79" s="370"/>
      <c r="AD79" s="367"/>
    </row>
    <row r="80" spans="2:30" ht="13.05" customHeight="1">
      <c r="B80" s="184"/>
      <c r="C80" s="184"/>
      <c r="D80" s="184"/>
      <c r="E80" s="184"/>
      <c r="F80" s="184"/>
      <c r="G80" s="184"/>
      <c r="H80" s="184"/>
      <c r="I80" s="219"/>
      <c r="J80" s="396"/>
      <c r="K80" s="396"/>
      <c r="L80" s="467"/>
      <c r="M80" s="32" t="str">
        <f>IF($M$7="","",$M$7)</f>
        <v/>
      </c>
      <c r="N80" s="33"/>
      <c r="Q80" s="366" t="str">
        <f>$Q$7</f>
        <v>四工</v>
      </c>
      <c r="R80" s="367"/>
      <c r="S80" s="397"/>
      <c r="T80" s="398"/>
      <c r="U80" s="399"/>
      <c r="V80" s="397"/>
      <c r="W80" s="398"/>
      <c r="X80" s="399"/>
      <c r="Y80" s="397"/>
      <c r="Z80" s="398"/>
      <c r="AA80" s="399"/>
      <c r="AB80" s="397"/>
      <c r="AC80" s="398"/>
      <c r="AD80" s="399"/>
    </row>
    <row r="81" spans="2:30" ht="13.05" customHeight="1">
      <c r="B81" s="184"/>
      <c r="C81" s="184"/>
      <c r="D81" s="184"/>
      <c r="E81" s="184"/>
      <c r="F81" s="184"/>
      <c r="G81" s="184"/>
      <c r="H81" s="184"/>
      <c r="I81" s="219"/>
      <c r="J81" s="396"/>
      <c r="K81" s="396"/>
      <c r="L81" s="468"/>
      <c r="M81" s="34"/>
      <c r="N81" s="35"/>
      <c r="Q81" s="368"/>
      <c r="R81" s="369"/>
      <c r="S81" s="368"/>
      <c r="T81" s="371"/>
      <c r="U81" s="369"/>
      <c r="V81" s="368"/>
      <c r="W81" s="371"/>
      <c r="X81" s="369"/>
      <c r="Y81" s="368"/>
      <c r="Z81" s="371"/>
      <c r="AA81" s="369"/>
      <c r="AB81" s="368"/>
      <c r="AC81" s="371"/>
      <c r="AD81" s="369"/>
    </row>
    <row r="82" spans="2:30">
      <c r="S82" s="11" t="s">
        <v>306</v>
      </c>
    </row>
    <row r="84" spans="2:30" ht="13.2" customHeight="1">
      <c r="B84" s="29"/>
      <c r="C84" s="10"/>
      <c r="D84" s="10"/>
      <c r="E84" s="10"/>
      <c r="F84" s="10"/>
      <c r="G84" s="10"/>
      <c r="H84" s="10"/>
      <c r="I84" s="10"/>
      <c r="J84" s="10"/>
      <c r="K84" s="10"/>
      <c r="L84" s="10"/>
      <c r="M84" s="10"/>
      <c r="N84" s="9"/>
      <c r="O84" s="9"/>
      <c r="P84" s="9"/>
      <c r="Q84" s="9"/>
      <c r="R84" s="9"/>
      <c r="S84" s="9"/>
      <c r="T84" s="9"/>
      <c r="U84" s="9"/>
      <c r="V84" s="9"/>
      <c r="W84" s="9"/>
      <c r="X84" s="9"/>
      <c r="Y84" s="9"/>
      <c r="Z84" s="9"/>
      <c r="AA84" s="9"/>
      <c r="AB84" s="9"/>
      <c r="AC84" s="9"/>
      <c r="AD84" s="8"/>
    </row>
    <row r="85" spans="2:30" ht="13.2" customHeight="1">
      <c r="B85" s="36" t="s">
        <v>726</v>
      </c>
      <c r="C85" s="37"/>
      <c r="D85" s="37"/>
      <c r="E85" s="37"/>
      <c r="F85" s="37"/>
      <c r="G85" s="37"/>
      <c r="H85" s="37"/>
      <c r="I85" s="37"/>
      <c r="J85" s="37"/>
      <c r="K85" s="37"/>
      <c r="L85" s="37"/>
      <c r="M85" s="37"/>
      <c r="N85" s="38"/>
      <c r="O85" s="38"/>
      <c r="P85" s="38"/>
      <c r="Q85" s="38"/>
      <c r="R85" s="38"/>
      <c r="S85" s="38"/>
      <c r="T85" s="38"/>
      <c r="U85" s="38"/>
      <c r="V85" s="38"/>
      <c r="W85" s="38"/>
      <c r="X85" s="38"/>
      <c r="Y85" s="38"/>
      <c r="Z85" s="38"/>
      <c r="AA85" s="38"/>
      <c r="AB85" s="38"/>
      <c r="AC85" s="38"/>
      <c r="AD85" s="39"/>
    </row>
    <row r="86" spans="2:30" ht="13.2" customHeight="1">
      <c r="B86" s="4"/>
      <c r="C86" s="3"/>
      <c r="D86" s="3"/>
      <c r="E86" s="3"/>
      <c r="F86" s="3"/>
      <c r="G86" s="3"/>
      <c r="H86" s="3"/>
      <c r="I86" s="3"/>
      <c r="J86" s="3"/>
      <c r="K86" s="3"/>
      <c r="L86" s="3"/>
      <c r="M86" s="3"/>
      <c r="N86" s="2"/>
      <c r="O86" s="2"/>
      <c r="P86" s="2"/>
      <c r="Q86" s="2"/>
      <c r="R86" s="2"/>
      <c r="S86" s="2"/>
      <c r="T86" s="2"/>
      <c r="U86" s="2"/>
      <c r="V86" s="2"/>
      <c r="W86" s="2"/>
      <c r="X86" s="2"/>
      <c r="Y86" s="2"/>
      <c r="Z86" s="2"/>
      <c r="AA86" s="2"/>
      <c r="AB86" s="2"/>
      <c r="AC86" s="2"/>
      <c r="AD86" s="1"/>
    </row>
    <row r="87" spans="2:30" ht="13.2" customHeight="1">
      <c r="B87" s="204" t="s">
        <v>298</v>
      </c>
      <c r="C87" s="204"/>
      <c r="D87" s="204"/>
      <c r="E87" s="204"/>
      <c r="F87" s="204"/>
      <c r="G87" s="204"/>
      <c r="H87" s="204"/>
      <c r="I87" s="204"/>
      <c r="J87" s="204"/>
      <c r="K87" s="204"/>
      <c r="L87" s="206" t="s">
        <v>297</v>
      </c>
      <c r="M87" s="206"/>
      <c r="N87" s="400" t="s">
        <v>296</v>
      </c>
      <c r="O87" s="401"/>
      <c r="P87" s="401"/>
      <c r="Q87" s="401"/>
      <c r="R87" s="401"/>
      <c r="S87" s="401"/>
      <c r="T87" s="401"/>
      <c r="U87" s="402"/>
      <c r="V87" s="416" t="s">
        <v>295</v>
      </c>
      <c r="W87" s="417"/>
      <c r="X87" s="417"/>
      <c r="Y87" s="419" t="s">
        <v>702</v>
      </c>
      <c r="Z87" s="372"/>
      <c r="AA87" s="372"/>
      <c r="AB87" s="372"/>
      <c r="AC87" s="372"/>
      <c r="AD87" s="372"/>
    </row>
    <row r="88" spans="2:30" ht="13.2" customHeight="1">
      <c r="B88" s="204"/>
      <c r="C88" s="204"/>
      <c r="D88" s="204"/>
      <c r="E88" s="204"/>
      <c r="F88" s="204"/>
      <c r="G88" s="204"/>
      <c r="H88" s="204"/>
      <c r="I88" s="204"/>
      <c r="J88" s="204"/>
      <c r="K88" s="204"/>
      <c r="L88" s="206"/>
      <c r="M88" s="206"/>
      <c r="N88" s="412"/>
      <c r="O88" s="413"/>
      <c r="P88" s="413"/>
      <c r="Q88" s="413"/>
      <c r="R88" s="413"/>
      <c r="S88" s="413"/>
      <c r="T88" s="413"/>
      <c r="U88" s="414"/>
      <c r="V88" s="417"/>
      <c r="W88" s="417"/>
      <c r="X88" s="417"/>
      <c r="Y88" s="372"/>
      <c r="Z88" s="372"/>
      <c r="AA88" s="372"/>
      <c r="AB88" s="372"/>
      <c r="AC88" s="372"/>
      <c r="AD88" s="372"/>
    </row>
    <row r="89" spans="2:30" ht="13.2" customHeight="1">
      <c r="B89" s="204"/>
      <c r="C89" s="204"/>
      <c r="D89" s="204"/>
      <c r="E89" s="204"/>
      <c r="F89" s="204"/>
      <c r="G89" s="204"/>
      <c r="H89" s="204"/>
      <c r="I89" s="204"/>
      <c r="J89" s="204"/>
      <c r="K89" s="204"/>
      <c r="L89" s="206"/>
      <c r="M89" s="206"/>
      <c r="N89" s="400" t="s">
        <v>294</v>
      </c>
      <c r="O89" s="401"/>
      <c r="P89" s="401"/>
      <c r="Q89" s="402"/>
      <c r="R89" s="400" t="s">
        <v>293</v>
      </c>
      <c r="S89" s="401"/>
      <c r="T89" s="401"/>
      <c r="U89" s="402"/>
      <c r="V89" s="417"/>
      <c r="W89" s="417"/>
      <c r="X89" s="417"/>
      <c r="Y89" s="372"/>
      <c r="Z89" s="372"/>
      <c r="AA89" s="372"/>
      <c r="AB89" s="372"/>
      <c r="AC89" s="372"/>
      <c r="AD89" s="372"/>
    </row>
    <row r="90" spans="2:30" ht="13.95" customHeight="1" thickBot="1">
      <c r="B90" s="205"/>
      <c r="C90" s="205"/>
      <c r="D90" s="205"/>
      <c r="E90" s="205"/>
      <c r="F90" s="205"/>
      <c r="G90" s="205"/>
      <c r="H90" s="205"/>
      <c r="I90" s="205"/>
      <c r="J90" s="205"/>
      <c r="K90" s="205"/>
      <c r="L90" s="207"/>
      <c r="M90" s="207"/>
      <c r="N90" s="403"/>
      <c r="O90" s="404"/>
      <c r="P90" s="404"/>
      <c r="Q90" s="405"/>
      <c r="R90" s="403"/>
      <c r="S90" s="404"/>
      <c r="T90" s="404"/>
      <c r="U90" s="405"/>
      <c r="V90" s="418"/>
      <c r="W90" s="418"/>
      <c r="X90" s="418"/>
      <c r="Y90" s="420"/>
      <c r="Z90" s="420"/>
      <c r="AA90" s="420"/>
      <c r="AB90" s="420"/>
      <c r="AC90" s="420"/>
      <c r="AD90" s="420"/>
    </row>
    <row r="91" spans="2:30" ht="13.5" customHeight="1" thickTop="1">
      <c r="B91" s="424"/>
      <c r="C91" s="425"/>
      <c r="D91" s="426"/>
      <c r="E91" s="245" t="s">
        <v>370</v>
      </c>
      <c r="F91" s="246"/>
      <c r="G91" s="246"/>
      <c r="H91" s="246"/>
      <c r="I91" s="246"/>
      <c r="J91" s="246"/>
      <c r="K91" s="247"/>
      <c r="L91" s="461"/>
      <c r="M91" s="461"/>
      <c r="N91" s="462"/>
      <c r="O91" s="463"/>
      <c r="P91" s="463"/>
      <c r="Q91" s="464"/>
      <c r="R91" s="462"/>
      <c r="S91" s="463"/>
      <c r="T91" s="463"/>
      <c r="U91" s="464"/>
      <c r="V91" s="415"/>
      <c r="W91" s="415"/>
      <c r="X91" s="415"/>
      <c r="Y91" s="469"/>
      <c r="Z91" s="469"/>
      <c r="AA91" s="469"/>
      <c r="AB91" s="469"/>
      <c r="AC91" s="469"/>
      <c r="AD91" s="469"/>
    </row>
    <row r="92" spans="2:30" ht="13.05" customHeight="1">
      <c r="B92" s="427"/>
      <c r="C92" s="428"/>
      <c r="D92" s="429"/>
      <c r="E92" s="248"/>
      <c r="F92" s="249"/>
      <c r="G92" s="249"/>
      <c r="H92" s="249"/>
      <c r="I92" s="249"/>
      <c r="J92" s="249"/>
      <c r="K92" s="250"/>
      <c r="L92" s="224"/>
      <c r="M92" s="224"/>
      <c r="N92" s="368"/>
      <c r="O92" s="371"/>
      <c r="P92" s="371"/>
      <c r="Q92" s="369"/>
      <c r="R92" s="368"/>
      <c r="S92" s="371"/>
      <c r="T92" s="371"/>
      <c r="U92" s="369"/>
      <c r="V92" s="372"/>
      <c r="W92" s="372"/>
      <c r="X92" s="372"/>
      <c r="Y92" s="470"/>
      <c r="Z92" s="470"/>
      <c r="AA92" s="470"/>
      <c r="AB92" s="470"/>
      <c r="AC92" s="470"/>
      <c r="AD92" s="470"/>
    </row>
    <row r="93" spans="2:30" ht="13.05" customHeight="1">
      <c r="B93" s="379" t="s">
        <v>655</v>
      </c>
      <c r="C93" s="379"/>
      <c r="D93" s="379"/>
      <c r="E93" s="380" t="s">
        <v>369</v>
      </c>
      <c r="F93" s="380"/>
      <c r="G93" s="380"/>
      <c r="H93" s="380"/>
      <c r="I93" s="380"/>
      <c r="J93" s="380"/>
      <c r="K93" s="380"/>
      <c r="L93" s="224" t="s">
        <v>261</v>
      </c>
      <c r="M93" s="224"/>
      <c r="N93" s="381">
        <v>0</v>
      </c>
      <c r="O93" s="382"/>
      <c r="P93" s="382"/>
      <c r="Q93" s="383"/>
      <c r="R93" s="381">
        <v>0</v>
      </c>
      <c r="S93" s="382"/>
      <c r="T93" s="382"/>
      <c r="U93" s="383"/>
      <c r="V93" s="372"/>
      <c r="W93" s="372"/>
      <c r="X93" s="372"/>
      <c r="Y93" s="470"/>
      <c r="Z93" s="470"/>
      <c r="AA93" s="470"/>
      <c r="AB93" s="470"/>
      <c r="AC93" s="470"/>
      <c r="AD93" s="470"/>
    </row>
    <row r="94" spans="2:30" ht="13.05" customHeight="1">
      <c r="B94" s="379"/>
      <c r="C94" s="379"/>
      <c r="D94" s="379"/>
      <c r="E94" s="380"/>
      <c r="F94" s="380"/>
      <c r="G94" s="380"/>
      <c r="H94" s="380"/>
      <c r="I94" s="380"/>
      <c r="J94" s="380"/>
      <c r="K94" s="380"/>
      <c r="L94" s="224"/>
      <c r="M94" s="224"/>
      <c r="N94" s="384"/>
      <c r="O94" s="385"/>
      <c r="P94" s="385"/>
      <c r="Q94" s="386"/>
      <c r="R94" s="384"/>
      <c r="S94" s="385"/>
      <c r="T94" s="385"/>
      <c r="U94" s="386"/>
      <c r="V94" s="372"/>
      <c r="W94" s="372"/>
      <c r="X94" s="372"/>
      <c r="Y94" s="470"/>
      <c r="Z94" s="470"/>
      <c r="AA94" s="470"/>
      <c r="AB94" s="470"/>
      <c r="AC94" s="470"/>
      <c r="AD94" s="470"/>
    </row>
    <row r="95" spans="2:30" ht="13.05" customHeight="1">
      <c r="B95" s="424" t="s">
        <v>657</v>
      </c>
      <c r="C95" s="425"/>
      <c r="D95" s="426"/>
      <c r="E95" s="434" t="s">
        <v>368</v>
      </c>
      <c r="F95" s="435"/>
      <c r="G95" s="435"/>
      <c r="H95" s="435"/>
      <c r="I95" s="435"/>
      <c r="J95" s="435"/>
      <c r="K95" s="436"/>
      <c r="L95" s="245" t="s">
        <v>261</v>
      </c>
      <c r="M95" s="247"/>
      <c r="N95" s="381">
        <v>0</v>
      </c>
      <c r="O95" s="382"/>
      <c r="P95" s="382"/>
      <c r="Q95" s="383"/>
      <c r="R95" s="381">
        <v>0</v>
      </c>
      <c r="S95" s="382"/>
      <c r="T95" s="382"/>
      <c r="U95" s="383"/>
      <c r="V95" s="372"/>
      <c r="W95" s="372"/>
      <c r="X95" s="372"/>
      <c r="Y95" s="470"/>
      <c r="Z95" s="470"/>
      <c r="AA95" s="470"/>
      <c r="AB95" s="470"/>
      <c r="AC95" s="470"/>
      <c r="AD95" s="470"/>
    </row>
    <row r="96" spans="2:30" ht="13.05" customHeight="1">
      <c r="B96" s="427"/>
      <c r="C96" s="428"/>
      <c r="D96" s="429"/>
      <c r="E96" s="437"/>
      <c r="F96" s="438"/>
      <c r="G96" s="438"/>
      <c r="H96" s="438"/>
      <c r="I96" s="438"/>
      <c r="J96" s="438"/>
      <c r="K96" s="439"/>
      <c r="L96" s="248"/>
      <c r="M96" s="250"/>
      <c r="N96" s="384"/>
      <c r="O96" s="385"/>
      <c r="P96" s="385"/>
      <c r="Q96" s="386"/>
      <c r="R96" s="384"/>
      <c r="S96" s="385"/>
      <c r="T96" s="385"/>
      <c r="U96" s="386"/>
      <c r="V96" s="372"/>
      <c r="W96" s="372"/>
      <c r="X96" s="372"/>
      <c r="Y96" s="470"/>
      <c r="Z96" s="470"/>
      <c r="AA96" s="470"/>
      <c r="AB96" s="470"/>
      <c r="AC96" s="470"/>
      <c r="AD96" s="470"/>
    </row>
    <row r="97" spans="2:30" ht="13.05" customHeight="1">
      <c r="B97" s="424" t="s">
        <v>659</v>
      </c>
      <c r="C97" s="425"/>
      <c r="D97" s="426"/>
      <c r="E97" s="434" t="s">
        <v>367</v>
      </c>
      <c r="F97" s="435"/>
      <c r="G97" s="435"/>
      <c r="H97" s="435"/>
      <c r="I97" s="435"/>
      <c r="J97" s="435"/>
      <c r="K97" s="436"/>
      <c r="L97" s="245" t="s">
        <v>261</v>
      </c>
      <c r="M97" s="247"/>
      <c r="N97" s="381">
        <v>0</v>
      </c>
      <c r="O97" s="382"/>
      <c r="P97" s="382"/>
      <c r="Q97" s="383"/>
      <c r="R97" s="381">
        <v>0</v>
      </c>
      <c r="S97" s="382"/>
      <c r="T97" s="382"/>
      <c r="U97" s="383"/>
      <c r="V97" s="372"/>
      <c r="W97" s="372"/>
      <c r="X97" s="372"/>
      <c r="Y97" s="470"/>
      <c r="Z97" s="470"/>
      <c r="AA97" s="470"/>
      <c r="AB97" s="470"/>
      <c r="AC97" s="470"/>
      <c r="AD97" s="470"/>
    </row>
    <row r="98" spans="2:30" ht="13.05" customHeight="1">
      <c r="B98" s="427"/>
      <c r="C98" s="428"/>
      <c r="D98" s="429"/>
      <c r="E98" s="437"/>
      <c r="F98" s="438"/>
      <c r="G98" s="438"/>
      <c r="H98" s="438"/>
      <c r="I98" s="438"/>
      <c r="J98" s="438"/>
      <c r="K98" s="439"/>
      <c r="L98" s="248"/>
      <c r="M98" s="250"/>
      <c r="N98" s="384"/>
      <c r="O98" s="385"/>
      <c r="P98" s="385"/>
      <c r="Q98" s="386"/>
      <c r="R98" s="384"/>
      <c r="S98" s="385"/>
      <c r="T98" s="385"/>
      <c r="U98" s="386"/>
      <c r="V98" s="372"/>
      <c r="W98" s="372"/>
      <c r="X98" s="372"/>
      <c r="Y98" s="470"/>
      <c r="Z98" s="470"/>
      <c r="AA98" s="470"/>
      <c r="AB98" s="470"/>
      <c r="AC98" s="470"/>
      <c r="AD98" s="470"/>
    </row>
    <row r="99" spans="2:30" ht="13.05" customHeight="1">
      <c r="B99" s="424" t="s">
        <v>661</v>
      </c>
      <c r="C99" s="425"/>
      <c r="D99" s="426"/>
      <c r="E99" s="434" t="s">
        <v>366</v>
      </c>
      <c r="F99" s="435"/>
      <c r="G99" s="435"/>
      <c r="H99" s="435"/>
      <c r="I99" s="435"/>
      <c r="J99" s="435"/>
      <c r="K99" s="436"/>
      <c r="L99" s="224" t="s">
        <v>261</v>
      </c>
      <c r="M99" s="224"/>
      <c r="N99" s="381">
        <v>0</v>
      </c>
      <c r="O99" s="382"/>
      <c r="P99" s="382"/>
      <c r="Q99" s="383"/>
      <c r="R99" s="381">
        <v>0</v>
      </c>
      <c r="S99" s="382"/>
      <c r="T99" s="382"/>
      <c r="U99" s="383"/>
      <c r="V99" s="372"/>
      <c r="W99" s="372"/>
      <c r="X99" s="372"/>
      <c r="Y99" s="470"/>
      <c r="Z99" s="470"/>
      <c r="AA99" s="470"/>
      <c r="AB99" s="470"/>
      <c r="AC99" s="470"/>
      <c r="AD99" s="470"/>
    </row>
    <row r="100" spans="2:30" ht="13.05" customHeight="1">
      <c r="B100" s="427"/>
      <c r="C100" s="428"/>
      <c r="D100" s="429"/>
      <c r="E100" s="437"/>
      <c r="F100" s="438"/>
      <c r="G100" s="438"/>
      <c r="H100" s="438"/>
      <c r="I100" s="438"/>
      <c r="J100" s="438"/>
      <c r="K100" s="439"/>
      <c r="L100" s="224"/>
      <c r="M100" s="224"/>
      <c r="N100" s="384"/>
      <c r="O100" s="385"/>
      <c r="P100" s="385"/>
      <c r="Q100" s="386"/>
      <c r="R100" s="384"/>
      <c r="S100" s="385"/>
      <c r="T100" s="385"/>
      <c r="U100" s="386"/>
      <c r="V100" s="372"/>
      <c r="W100" s="372"/>
      <c r="X100" s="372"/>
      <c r="Y100" s="470"/>
      <c r="Z100" s="470"/>
      <c r="AA100" s="470"/>
      <c r="AB100" s="470"/>
      <c r="AC100" s="470"/>
      <c r="AD100" s="470"/>
    </row>
    <row r="101" spans="2:30" ht="13.05" customHeight="1">
      <c r="B101" s="424" t="s">
        <v>663</v>
      </c>
      <c r="C101" s="425"/>
      <c r="D101" s="426"/>
      <c r="E101" s="434" t="s">
        <v>365</v>
      </c>
      <c r="F101" s="435"/>
      <c r="G101" s="435"/>
      <c r="H101" s="435"/>
      <c r="I101" s="435"/>
      <c r="J101" s="435"/>
      <c r="K101" s="436"/>
      <c r="L101" s="224" t="s">
        <v>261</v>
      </c>
      <c r="M101" s="224"/>
      <c r="N101" s="381">
        <v>0</v>
      </c>
      <c r="O101" s="382"/>
      <c r="P101" s="382"/>
      <c r="Q101" s="383"/>
      <c r="R101" s="381">
        <v>0</v>
      </c>
      <c r="S101" s="382"/>
      <c r="T101" s="382"/>
      <c r="U101" s="383"/>
      <c r="V101" s="372"/>
      <c r="W101" s="372"/>
      <c r="X101" s="372"/>
      <c r="Y101" s="470"/>
      <c r="Z101" s="470"/>
      <c r="AA101" s="470"/>
      <c r="AB101" s="470"/>
      <c r="AC101" s="470"/>
      <c r="AD101" s="470"/>
    </row>
    <row r="102" spans="2:30" ht="13.05" customHeight="1">
      <c r="B102" s="427"/>
      <c r="C102" s="428"/>
      <c r="D102" s="429"/>
      <c r="E102" s="437"/>
      <c r="F102" s="438"/>
      <c r="G102" s="438"/>
      <c r="H102" s="438"/>
      <c r="I102" s="438"/>
      <c r="J102" s="438"/>
      <c r="K102" s="439"/>
      <c r="L102" s="224"/>
      <c r="M102" s="224"/>
      <c r="N102" s="384"/>
      <c r="O102" s="385"/>
      <c r="P102" s="385"/>
      <c r="Q102" s="386"/>
      <c r="R102" s="384"/>
      <c r="S102" s="385"/>
      <c r="T102" s="385"/>
      <c r="U102" s="386"/>
      <c r="V102" s="372"/>
      <c r="W102" s="372"/>
      <c r="X102" s="372"/>
      <c r="Y102" s="470"/>
      <c r="Z102" s="470"/>
      <c r="AA102" s="470"/>
      <c r="AB102" s="470"/>
      <c r="AC102" s="470"/>
      <c r="AD102" s="470"/>
    </row>
    <row r="103" spans="2:30" ht="13.05" customHeight="1">
      <c r="B103" s="432" t="s">
        <v>364</v>
      </c>
      <c r="C103" s="379"/>
      <c r="D103" s="379"/>
      <c r="E103" s="380" t="s">
        <v>664</v>
      </c>
      <c r="F103" s="380"/>
      <c r="G103" s="380"/>
      <c r="H103" s="380"/>
      <c r="I103" s="380"/>
      <c r="J103" s="380"/>
      <c r="K103" s="380"/>
      <c r="L103" s="224" t="s">
        <v>261</v>
      </c>
      <c r="M103" s="224"/>
      <c r="N103" s="381">
        <v>0</v>
      </c>
      <c r="O103" s="382"/>
      <c r="P103" s="382"/>
      <c r="Q103" s="383"/>
      <c r="R103" s="381">
        <v>0</v>
      </c>
      <c r="S103" s="382"/>
      <c r="T103" s="382"/>
      <c r="U103" s="383"/>
      <c r="V103" s="372"/>
      <c r="W103" s="372"/>
      <c r="X103" s="372"/>
      <c r="Y103" s="470"/>
      <c r="Z103" s="470"/>
      <c r="AA103" s="470"/>
      <c r="AB103" s="470"/>
      <c r="AC103" s="470"/>
      <c r="AD103" s="470"/>
    </row>
    <row r="104" spans="2:30" ht="13.05" customHeight="1">
      <c r="B104" s="379"/>
      <c r="C104" s="379"/>
      <c r="D104" s="379"/>
      <c r="E104" s="380"/>
      <c r="F104" s="380"/>
      <c r="G104" s="380"/>
      <c r="H104" s="380"/>
      <c r="I104" s="380"/>
      <c r="J104" s="380"/>
      <c r="K104" s="380"/>
      <c r="L104" s="224"/>
      <c r="M104" s="224"/>
      <c r="N104" s="384"/>
      <c r="O104" s="385"/>
      <c r="P104" s="385"/>
      <c r="Q104" s="386"/>
      <c r="R104" s="384"/>
      <c r="S104" s="385"/>
      <c r="T104" s="385"/>
      <c r="U104" s="386"/>
      <c r="V104" s="372"/>
      <c r="W104" s="372"/>
      <c r="X104" s="372"/>
      <c r="Y104" s="470"/>
      <c r="Z104" s="470"/>
      <c r="AA104" s="470"/>
      <c r="AB104" s="470"/>
      <c r="AC104" s="470"/>
      <c r="AD104" s="470"/>
    </row>
    <row r="105" spans="2:30" ht="13.05" customHeight="1">
      <c r="B105" s="432" t="s">
        <v>385</v>
      </c>
      <c r="C105" s="379"/>
      <c r="D105" s="379"/>
      <c r="E105" s="380" t="s">
        <v>384</v>
      </c>
      <c r="F105" s="380"/>
      <c r="G105" s="380"/>
      <c r="H105" s="380"/>
      <c r="I105" s="380"/>
      <c r="J105" s="380"/>
      <c r="K105" s="380"/>
      <c r="L105" s="224" t="s">
        <v>261</v>
      </c>
      <c r="M105" s="224"/>
      <c r="N105" s="381">
        <v>0</v>
      </c>
      <c r="O105" s="382"/>
      <c r="P105" s="382"/>
      <c r="Q105" s="383"/>
      <c r="R105" s="381">
        <v>0</v>
      </c>
      <c r="S105" s="382"/>
      <c r="T105" s="382"/>
      <c r="U105" s="383"/>
      <c r="V105" s="372"/>
      <c r="W105" s="372"/>
      <c r="X105" s="372"/>
      <c r="Y105" s="225"/>
      <c r="Z105" s="225"/>
      <c r="AA105" s="225"/>
      <c r="AB105" s="225"/>
      <c r="AC105" s="225"/>
      <c r="AD105" s="225"/>
    </row>
    <row r="106" spans="2:30" ht="13.05" customHeight="1">
      <c r="B106" s="379"/>
      <c r="C106" s="379"/>
      <c r="D106" s="379"/>
      <c r="E106" s="380"/>
      <c r="F106" s="380"/>
      <c r="G106" s="380"/>
      <c r="H106" s="380"/>
      <c r="I106" s="380"/>
      <c r="J106" s="380"/>
      <c r="K106" s="380"/>
      <c r="L106" s="224"/>
      <c r="M106" s="224"/>
      <c r="N106" s="384"/>
      <c r="O106" s="385"/>
      <c r="P106" s="385"/>
      <c r="Q106" s="386"/>
      <c r="R106" s="384"/>
      <c r="S106" s="385"/>
      <c r="T106" s="385"/>
      <c r="U106" s="386"/>
      <c r="V106" s="372"/>
      <c r="W106" s="372"/>
      <c r="X106" s="372"/>
      <c r="Y106" s="225"/>
      <c r="Z106" s="225"/>
      <c r="AA106" s="225"/>
      <c r="AB106" s="225"/>
      <c r="AC106" s="225"/>
      <c r="AD106" s="225"/>
    </row>
    <row r="107" spans="2:30" ht="13.5" customHeight="1">
      <c r="B107" s="432" t="s">
        <v>666</v>
      </c>
      <c r="C107" s="379"/>
      <c r="D107" s="379"/>
      <c r="E107" s="380" t="s">
        <v>667</v>
      </c>
      <c r="F107" s="380"/>
      <c r="G107" s="380"/>
      <c r="H107" s="380"/>
      <c r="I107" s="380"/>
      <c r="J107" s="380"/>
      <c r="K107" s="380"/>
      <c r="L107" s="224" t="s">
        <v>261</v>
      </c>
      <c r="M107" s="224"/>
      <c r="N107" s="381">
        <v>0</v>
      </c>
      <c r="O107" s="382"/>
      <c r="P107" s="382"/>
      <c r="Q107" s="383"/>
      <c r="R107" s="381">
        <v>0</v>
      </c>
      <c r="S107" s="382"/>
      <c r="T107" s="382"/>
      <c r="U107" s="383"/>
      <c r="V107" s="372"/>
      <c r="W107" s="372"/>
      <c r="X107" s="372"/>
      <c r="Y107" s="470"/>
      <c r="Z107" s="470"/>
      <c r="AA107" s="470"/>
      <c r="AB107" s="470"/>
      <c r="AC107" s="470"/>
      <c r="AD107" s="470"/>
    </row>
    <row r="108" spans="2:30" ht="13.5" customHeight="1">
      <c r="B108" s="379"/>
      <c r="C108" s="379"/>
      <c r="D108" s="379"/>
      <c r="E108" s="380"/>
      <c r="F108" s="380"/>
      <c r="G108" s="380"/>
      <c r="H108" s="380"/>
      <c r="I108" s="380"/>
      <c r="J108" s="380"/>
      <c r="K108" s="380"/>
      <c r="L108" s="224"/>
      <c r="M108" s="224"/>
      <c r="N108" s="384"/>
      <c r="O108" s="385"/>
      <c r="P108" s="385"/>
      <c r="Q108" s="386"/>
      <c r="R108" s="384"/>
      <c r="S108" s="385"/>
      <c r="T108" s="385"/>
      <c r="U108" s="386"/>
      <c r="V108" s="372"/>
      <c r="W108" s="372"/>
      <c r="X108" s="372"/>
      <c r="Y108" s="470"/>
      <c r="Z108" s="470"/>
      <c r="AA108" s="470"/>
      <c r="AB108" s="470"/>
      <c r="AC108" s="470"/>
      <c r="AD108" s="470"/>
    </row>
    <row r="109" spans="2:30" ht="13.05" customHeight="1">
      <c r="B109" s="424"/>
      <c r="C109" s="425"/>
      <c r="D109" s="426"/>
      <c r="E109" s="434"/>
      <c r="F109" s="435"/>
      <c r="G109" s="435"/>
      <c r="H109" s="435"/>
      <c r="I109" s="435"/>
      <c r="J109" s="435"/>
      <c r="K109" s="436"/>
      <c r="L109" s="224"/>
      <c r="M109" s="224"/>
      <c r="N109" s="381"/>
      <c r="O109" s="382"/>
      <c r="P109" s="382"/>
      <c r="Q109" s="383"/>
      <c r="R109" s="381"/>
      <c r="S109" s="382"/>
      <c r="T109" s="382"/>
      <c r="U109" s="383"/>
      <c r="V109" s="372"/>
      <c r="W109" s="372"/>
      <c r="X109" s="372"/>
      <c r="Y109" s="225"/>
      <c r="Z109" s="225"/>
      <c r="AA109" s="225"/>
      <c r="AB109" s="225"/>
      <c r="AC109" s="225"/>
      <c r="AD109" s="225"/>
    </row>
    <row r="110" spans="2:30" ht="13.05" customHeight="1">
      <c r="B110" s="427"/>
      <c r="C110" s="428"/>
      <c r="D110" s="429"/>
      <c r="E110" s="437"/>
      <c r="F110" s="438"/>
      <c r="G110" s="438"/>
      <c r="H110" s="438"/>
      <c r="I110" s="438"/>
      <c r="J110" s="438"/>
      <c r="K110" s="439"/>
      <c r="L110" s="224"/>
      <c r="M110" s="224"/>
      <c r="N110" s="384"/>
      <c r="O110" s="385"/>
      <c r="P110" s="385"/>
      <c r="Q110" s="386"/>
      <c r="R110" s="384"/>
      <c r="S110" s="385"/>
      <c r="T110" s="385"/>
      <c r="U110" s="386"/>
      <c r="V110" s="372"/>
      <c r="W110" s="372"/>
      <c r="X110" s="372"/>
      <c r="Y110" s="225"/>
      <c r="Z110" s="225"/>
      <c r="AA110" s="225"/>
      <c r="AB110" s="225"/>
      <c r="AC110" s="225"/>
      <c r="AD110" s="225"/>
    </row>
    <row r="111" spans="2:30" ht="13.05" customHeight="1">
      <c r="B111" s="379"/>
      <c r="C111" s="379"/>
      <c r="D111" s="379"/>
      <c r="E111" s="380"/>
      <c r="F111" s="380"/>
      <c r="G111" s="380"/>
      <c r="H111" s="380"/>
      <c r="I111" s="380"/>
      <c r="J111" s="380"/>
      <c r="K111" s="380"/>
      <c r="L111" s="224"/>
      <c r="M111" s="224"/>
      <c r="N111" s="381"/>
      <c r="O111" s="382"/>
      <c r="P111" s="382"/>
      <c r="Q111" s="383"/>
      <c r="R111" s="381"/>
      <c r="S111" s="382"/>
      <c r="T111" s="382"/>
      <c r="U111" s="383"/>
      <c r="V111" s="372"/>
      <c r="W111" s="372"/>
      <c r="X111" s="372"/>
      <c r="Y111" s="470"/>
      <c r="Z111" s="470"/>
      <c r="AA111" s="470"/>
      <c r="AB111" s="470"/>
      <c r="AC111" s="470"/>
      <c r="AD111" s="470"/>
    </row>
    <row r="112" spans="2:30" ht="13.05" customHeight="1">
      <c r="B112" s="379"/>
      <c r="C112" s="379"/>
      <c r="D112" s="379"/>
      <c r="E112" s="380"/>
      <c r="F112" s="380"/>
      <c r="G112" s="380"/>
      <c r="H112" s="380"/>
      <c r="I112" s="380"/>
      <c r="J112" s="380"/>
      <c r="K112" s="380"/>
      <c r="L112" s="224"/>
      <c r="M112" s="224"/>
      <c r="N112" s="384"/>
      <c r="O112" s="385"/>
      <c r="P112" s="385"/>
      <c r="Q112" s="386"/>
      <c r="R112" s="384"/>
      <c r="S112" s="385"/>
      <c r="T112" s="385"/>
      <c r="U112" s="386"/>
      <c r="V112" s="372"/>
      <c r="W112" s="372"/>
      <c r="X112" s="372"/>
      <c r="Y112" s="470"/>
      <c r="Z112" s="470"/>
      <c r="AA112" s="470"/>
      <c r="AB112" s="470"/>
      <c r="AC112" s="470"/>
      <c r="AD112" s="470"/>
    </row>
    <row r="113" spans="2:30" ht="13.05" customHeight="1">
      <c r="B113" s="379"/>
      <c r="C113" s="379"/>
      <c r="D113" s="379"/>
      <c r="E113" s="471" t="s">
        <v>668</v>
      </c>
      <c r="F113" s="471"/>
      <c r="G113" s="471"/>
      <c r="H113" s="471"/>
      <c r="I113" s="471"/>
      <c r="J113" s="471"/>
      <c r="K113" s="471"/>
      <c r="L113" s="430"/>
      <c r="M113" s="430"/>
      <c r="N113" s="381"/>
      <c r="O113" s="382"/>
      <c r="P113" s="382"/>
      <c r="Q113" s="383"/>
      <c r="R113" s="381"/>
      <c r="S113" s="382"/>
      <c r="T113" s="382"/>
      <c r="U113" s="383"/>
      <c r="V113" s="372"/>
      <c r="W113" s="372"/>
      <c r="X113" s="372"/>
      <c r="Y113" s="470"/>
      <c r="Z113" s="470"/>
      <c r="AA113" s="470"/>
      <c r="AB113" s="470"/>
      <c r="AC113" s="470"/>
      <c r="AD113" s="470"/>
    </row>
    <row r="114" spans="2:30" ht="13.05" customHeight="1">
      <c r="B114" s="379"/>
      <c r="C114" s="379"/>
      <c r="D114" s="379"/>
      <c r="E114" s="471"/>
      <c r="F114" s="471"/>
      <c r="G114" s="471"/>
      <c r="H114" s="471"/>
      <c r="I114" s="471"/>
      <c r="J114" s="471"/>
      <c r="K114" s="471"/>
      <c r="L114" s="430"/>
      <c r="M114" s="430"/>
      <c r="N114" s="384"/>
      <c r="O114" s="385"/>
      <c r="P114" s="385"/>
      <c r="Q114" s="386"/>
      <c r="R114" s="384"/>
      <c r="S114" s="385"/>
      <c r="T114" s="385"/>
      <c r="U114" s="386"/>
      <c r="V114" s="372"/>
      <c r="W114" s="372"/>
      <c r="X114" s="372"/>
      <c r="Y114" s="470"/>
      <c r="Z114" s="470"/>
      <c r="AA114" s="470"/>
      <c r="AB114" s="470"/>
      <c r="AC114" s="470"/>
      <c r="AD114" s="470"/>
    </row>
    <row r="115" spans="2:30" ht="13.05" customHeight="1">
      <c r="B115" s="473" t="s">
        <v>363</v>
      </c>
      <c r="C115" s="474"/>
      <c r="D115" s="475"/>
      <c r="E115" s="479" t="s">
        <v>362</v>
      </c>
      <c r="F115" s="480"/>
      <c r="G115" s="480"/>
      <c r="H115" s="480"/>
      <c r="I115" s="480"/>
      <c r="J115" s="480"/>
      <c r="K115" s="481"/>
      <c r="L115" s="224" t="s">
        <v>261</v>
      </c>
      <c r="M115" s="224"/>
      <c r="N115" s="485">
        <v>0</v>
      </c>
      <c r="O115" s="486"/>
      <c r="P115" s="486"/>
      <c r="Q115" s="487"/>
      <c r="R115" s="381">
        <v>0</v>
      </c>
      <c r="S115" s="382"/>
      <c r="T115" s="382"/>
      <c r="U115" s="383"/>
      <c r="V115" s="372"/>
      <c r="W115" s="372"/>
      <c r="X115" s="372"/>
      <c r="Y115" s="472" t="s">
        <v>676</v>
      </c>
      <c r="Z115" s="472"/>
      <c r="AA115" s="472"/>
      <c r="AB115" s="472"/>
      <c r="AC115" s="472"/>
      <c r="AD115" s="472"/>
    </row>
    <row r="116" spans="2:30" ht="13.05" customHeight="1">
      <c r="B116" s="476"/>
      <c r="C116" s="477"/>
      <c r="D116" s="478"/>
      <c r="E116" s="482"/>
      <c r="F116" s="483"/>
      <c r="G116" s="483"/>
      <c r="H116" s="483"/>
      <c r="I116" s="483"/>
      <c r="J116" s="483"/>
      <c r="K116" s="484"/>
      <c r="L116" s="224"/>
      <c r="M116" s="224"/>
      <c r="N116" s="488"/>
      <c r="O116" s="489"/>
      <c r="P116" s="489"/>
      <c r="Q116" s="490"/>
      <c r="R116" s="384"/>
      <c r="S116" s="385"/>
      <c r="T116" s="385"/>
      <c r="U116" s="386"/>
      <c r="V116" s="372"/>
      <c r="W116" s="372"/>
      <c r="X116" s="372"/>
      <c r="Y116" s="472"/>
      <c r="Z116" s="472"/>
      <c r="AA116" s="472"/>
      <c r="AB116" s="472"/>
      <c r="AC116" s="472"/>
      <c r="AD116" s="472"/>
    </row>
    <row r="117" spans="2:30" ht="13.05" customHeight="1">
      <c r="B117" s="473" t="s">
        <v>361</v>
      </c>
      <c r="C117" s="474"/>
      <c r="D117" s="475"/>
      <c r="E117" s="479" t="s">
        <v>360</v>
      </c>
      <c r="F117" s="480"/>
      <c r="G117" s="480"/>
      <c r="H117" s="480"/>
      <c r="I117" s="480"/>
      <c r="J117" s="480"/>
      <c r="K117" s="481"/>
      <c r="L117" s="224" t="s">
        <v>261</v>
      </c>
      <c r="M117" s="224"/>
      <c r="N117" s="381">
        <v>0</v>
      </c>
      <c r="O117" s="382"/>
      <c r="P117" s="382"/>
      <c r="Q117" s="383"/>
      <c r="R117" s="381">
        <v>0</v>
      </c>
      <c r="S117" s="382"/>
      <c r="T117" s="382"/>
      <c r="U117" s="383"/>
      <c r="V117" s="372"/>
      <c r="W117" s="372"/>
      <c r="X117" s="372"/>
      <c r="Y117" s="472" t="s">
        <v>676</v>
      </c>
      <c r="Z117" s="472"/>
      <c r="AA117" s="472"/>
      <c r="AB117" s="472"/>
      <c r="AC117" s="472"/>
      <c r="AD117" s="472"/>
    </row>
    <row r="118" spans="2:30" ht="13.05" customHeight="1">
      <c r="B118" s="476"/>
      <c r="C118" s="477"/>
      <c r="D118" s="478"/>
      <c r="E118" s="482"/>
      <c r="F118" s="483"/>
      <c r="G118" s="483"/>
      <c r="H118" s="483"/>
      <c r="I118" s="483"/>
      <c r="J118" s="483"/>
      <c r="K118" s="484"/>
      <c r="L118" s="224"/>
      <c r="M118" s="224"/>
      <c r="N118" s="384"/>
      <c r="O118" s="385"/>
      <c r="P118" s="385"/>
      <c r="Q118" s="386"/>
      <c r="R118" s="384"/>
      <c r="S118" s="385"/>
      <c r="T118" s="385"/>
      <c r="U118" s="386"/>
      <c r="V118" s="372"/>
      <c r="W118" s="372"/>
      <c r="X118" s="372"/>
      <c r="Y118" s="472"/>
      <c r="Z118" s="472"/>
      <c r="AA118" s="472"/>
      <c r="AB118" s="472"/>
      <c r="AC118" s="472"/>
      <c r="AD118" s="472"/>
    </row>
    <row r="119" spans="2:30" ht="13.05" customHeight="1">
      <c r="B119" s="491" t="s">
        <v>670</v>
      </c>
      <c r="C119" s="492"/>
      <c r="D119" s="493"/>
      <c r="E119" s="497" t="s">
        <v>671</v>
      </c>
      <c r="F119" s="498"/>
      <c r="G119" s="498"/>
      <c r="H119" s="498"/>
      <c r="I119" s="498"/>
      <c r="J119" s="498"/>
      <c r="K119" s="499"/>
      <c r="L119" s="344" t="s">
        <v>261</v>
      </c>
      <c r="M119" s="344"/>
      <c r="N119" s="381">
        <v>0</v>
      </c>
      <c r="O119" s="382"/>
      <c r="P119" s="382"/>
      <c r="Q119" s="383"/>
      <c r="R119" s="381">
        <v>0</v>
      </c>
      <c r="S119" s="382"/>
      <c r="T119" s="382"/>
      <c r="U119" s="383"/>
      <c r="V119" s="372"/>
      <c r="W119" s="372"/>
      <c r="X119" s="372"/>
      <c r="Y119" s="472" t="s">
        <v>676</v>
      </c>
      <c r="Z119" s="472"/>
      <c r="AA119" s="472"/>
      <c r="AB119" s="472"/>
      <c r="AC119" s="472"/>
      <c r="AD119" s="472"/>
    </row>
    <row r="120" spans="2:30" ht="13.05" customHeight="1">
      <c r="B120" s="494"/>
      <c r="C120" s="495"/>
      <c r="D120" s="496"/>
      <c r="E120" s="500"/>
      <c r="F120" s="501"/>
      <c r="G120" s="501"/>
      <c r="H120" s="501"/>
      <c r="I120" s="501"/>
      <c r="J120" s="501"/>
      <c r="K120" s="502"/>
      <c r="L120" s="344"/>
      <c r="M120" s="344"/>
      <c r="N120" s="384"/>
      <c r="O120" s="385"/>
      <c r="P120" s="385"/>
      <c r="Q120" s="386"/>
      <c r="R120" s="384"/>
      <c r="S120" s="385"/>
      <c r="T120" s="385"/>
      <c r="U120" s="386"/>
      <c r="V120" s="372"/>
      <c r="W120" s="372"/>
      <c r="X120" s="372"/>
      <c r="Y120" s="472"/>
      <c r="Z120" s="472"/>
      <c r="AA120" s="472"/>
      <c r="AB120" s="472"/>
      <c r="AC120" s="472"/>
      <c r="AD120" s="472"/>
    </row>
    <row r="121" spans="2:30" ht="13.05" customHeight="1">
      <c r="B121" s="424"/>
      <c r="C121" s="425"/>
      <c r="D121" s="426"/>
      <c r="E121" s="434"/>
      <c r="F121" s="435"/>
      <c r="G121" s="435"/>
      <c r="H121" s="435"/>
      <c r="I121" s="435"/>
      <c r="J121" s="435"/>
      <c r="K121" s="436"/>
      <c r="L121" s="224"/>
      <c r="M121" s="224"/>
      <c r="N121" s="381"/>
      <c r="O121" s="382"/>
      <c r="P121" s="382"/>
      <c r="Q121" s="383"/>
      <c r="R121" s="381"/>
      <c r="S121" s="382"/>
      <c r="T121" s="382"/>
      <c r="U121" s="383"/>
      <c r="V121" s="372"/>
      <c r="W121" s="372"/>
      <c r="X121" s="372"/>
      <c r="Y121" s="225"/>
      <c r="Z121" s="225"/>
      <c r="AA121" s="225"/>
      <c r="AB121" s="225"/>
      <c r="AC121" s="225"/>
      <c r="AD121" s="225"/>
    </row>
    <row r="122" spans="2:30" ht="13.05" customHeight="1">
      <c r="B122" s="427"/>
      <c r="C122" s="428"/>
      <c r="D122" s="429"/>
      <c r="E122" s="437"/>
      <c r="F122" s="438"/>
      <c r="G122" s="438"/>
      <c r="H122" s="438"/>
      <c r="I122" s="438"/>
      <c r="J122" s="438"/>
      <c r="K122" s="439"/>
      <c r="L122" s="224"/>
      <c r="M122" s="224"/>
      <c r="N122" s="384"/>
      <c r="O122" s="385"/>
      <c r="P122" s="385"/>
      <c r="Q122" s="386"/>
      <c r="R122" s="384"/>
      <c r="S122" s="385"/>
      <c r="T122" s="385"/>
      <c r="U122" s="386"/>
      <c r="V122" s="372"/>
      <c r="W122" s="372"/>
      <c r="X122" s="372"/>
      <c r="Y122" s="225"/>
      <c r="Z122" s="225"/>
      <c r="AA122" s="225"/>
      <c r="AB122" s="225"/>
      <c r="AC122" s="225"/>
      <c r="AD122" s="225"/>
    </row>
    <row r="123" spans="2:30" ht="13.05" customHeight="1">
      <c r="B123" s="424" t="s">
        <v>359</v>
      </c>
      <c r="C123" s="425"/>
      <c r="D123" s="426"/>
      <c r="E123" s="434" t="s">
        <v>672</v>
      </c>
      <c r="F123" s="435"/>
      <c r="G123" s="435"/>
      <c r="H123" s="435"/>
      <c r="I123" s="435"/>
      <c r="J123" s="435"/>
      <c r="K123" s="436"/>
      <c r="L123" s="224" t="s">
        <v>261</v>
      </c>
      <c r="M123" s="224"/>
      <c r="N123" s="381">
        <v>0</v>
      </c>
      <c r="O123" s="382"/>
      <c r="P123" s="382"/>
      <c r="Q123" s="383"/>
      <c r="R123" s="381">
        <v>0</v>
      </c>
      <c r="S123" s="382"/>
      <c r="T123" s="382"/>
      <c r="U123" s="383"/>
      <c r="V123" s="372"/>
      <c r="W123" s="372"/>
      <c r="X123" s="372"/>
      <c r="Y123" s="503"/>
      <c r="Z123" s="503"/>
      <c r="AA123" s="503"/>
      <c r="AB123" s="503"/>
      <c r="AC123" s="503"/>
      <c r="AD123" s="503"/>
    </row>
    <row r="124" spans="2:30" ht="13.05" customHeight="1">
      <c r="B124" s="427"/>
      <c r="C124" s="428"/>
      <c r="D124" s="429"/>
      <c r="E124" s="437"/>
      <c r="F124" s="438"/>
      <c r="G124" s="438"/>
      <c r="H124" s="438"/>
      <c r="I124" s="438"/>
      <c r="J124" s="438"/>
      <c r="K124" s="439"/>
      <c r="L124" s="224"/>
      <c r="M124" s="224"/>
      <c r="N124" s="384"/>
      <c r="O124" s="385"/>
      <c r="P124" s="385"/>
      <c r="Q124" s="386"/>
      <c r="R124" s="384"/>
      <c r="S124" s="385"/>
      <c r="T124" s="385"/>
      <c r="U124" s="386"/>
      <c r="V124" s="372"/>
      <c r="W124" s="372"/>
      <c r="X124" s="372"/>
      <c r="Y124" s="503"/>
      <c r="Z124" s="503"/>
      <c r="AA124" s="503"/>
      <c r="AB124" s="503"/>
      <c r="AC124" s="503"/>
      <c r="AD124" s="503"/>
    </row>
    <row r="125" spans="2:30" ht="13.05" customHeight="1">
      <c r="B125" s="424" t="s">
        <v>358</v>
      </c>
      <c r="C125" s="425"/>
      <c r="D125" s="426"/>
      <c r="E125" s="434" t="s">
        <v>357</v>
      </c>
      <c r="F125" s="435"/>
      <c r="G125" s="435"/>
      <c r="H125" s="435"/>
      <c r="I125" s="435"/>
      <c r="J125" s="435"/>
      <c r="K125" s="436"/>
      <c r="L125" s="224" t="s">
        <v>261</v>
      </c>
      <c r="M125" s="224"/>
      <c r="N125" s="381">
        <v>0</v>
      </c>
      <c r="O125" s="382"/>
      <c r="P125" s="382"/>
      <c r="Q125" s="383"/>
      <c r="R125" s="381">
        <v>1</v>
      </c>
      <c r="S125" s="382"/>
      <c r="T125" s="382"/>
      <c r="U125" s="383"/>
      <c r="V125" s="372"/>
      <c r="W125" s="372"/>
      <c r="X125" s="372"/>
      <c r="Y125" s="225"/>
      <c r="Z125" s="225"/>
      <c r="AA125" s="225"/>
      <c r="AB125" s="225"/>
      <c r="AC125" s="225"/>
      <c r="AD125" s="225"/>
    </row>
    <row r="126" spans="2:30" ht="13.05" customHeight="1">
      <c r="B126" s="427"/>
      <c r="C126" s="428"/>
      <c r="D126" s="429"/>
      <c r="E126" s="437"/>
      <c r="F126" s="438"/>
      <c r="G126" s="438"/>
      <c r="H126" s="438"/>
      <c r="I126" s="438"/>
      <c r="J126" s="438"/>
      <c r="K126" s="439"/>
      <c r="L126" s="224"/>
      <c r="M126" s="224"/>
      <c r="N126" s="384"/>
      <c r="O126" s="385"/>
      <c r="P126" s="385"/>
      <c r="Q126" s="386"/>
      <c r="R126" s="384"/>
      <c r="S126" s="385"/>
      <c r="T126" s="385"/>
      <c r="U126" s="386"/>
      <c r="V126" s="372"/>
      <c r="W126" s="372"/>
      <c r="X126" s="372"/>
      <c r="Y126" s="225"/>
      <c r="Z126" s="225"/>
      <c r="AA126" s="225"/>
      <c r="AB126" s="225"/>
      <c r="AC126" s="225"/>
      <c r="AD126" s="225"/>
    </row>
    <row r="127" spans="2:30" ht="13.05" customHeight="1">
      <c r="B127" s="424" t="s">
        <v>356</v>
      </c>
      <c r="C127" s="425"/>
      <c r="D127" s="426"/>
      <c r="E127" s="434" t="s">
        <v>355</v>
      </c>
      <c r="F127" s="435"/>
      <c r="G127" s="435"/>
      <c r="H127" s="435"/>
      <c r="I127" s="435"/>
      <c r="J127" s="435"/>
      <c r="K127" s="436"/>
      <c r="L127" s="224" t="s">
        <v>261</v>
      </c>
      <c r="M127" s="224"/>
      <c r="N127" s="381">
        <v>0</v>
      </c>
      <c r="O127" s="382"/>
      <c r="P127" s="382"/>
      <c r="Q127" s="383"/>
      <c r="R127" s="381">
        <v>1</v>
      </c>
      <c r="S127" s="382"/>
      <c r="T127" s="382"/>
      <c r="U127" s="383"/>
      <c r="V127" s="372"/>
      <c r="W127" s="372"/>
      <c r="X127" s="372"/>
      <c r="Y127" s="225"/>
      <c r="Z127" s="225"/>
      <c r="AA127" s="225"/>
      <c r="AB127" s="225"/>
      <c r="AC127" s="225"/>
      <c r="AD127" s="225"/>
    </row>
    <row r="128" spans="2:30" ht="13.05" customHeight="1">
      <c r="B128" s="427"/>
      <c r="C128" s="428"/>
      <c r="D128" s="429"/>
      <c r="E128" s="437"/>
      <c r="F128" s="438"/>
      <c r="G128" s="438"/>
      <c r="H128" s="438"/>
      <c r="I128" s="438"/>
      <c r="J128" s="438"/>
      <c r="K128" s="439"/>
      <c r="L128" s="224"/>
      <c r="M128" s="224"/>
      <c r="N128" s="384"/>
      <c r="O128" s="385"/>
      <c r="P128" s="385"/>
      <c r="Q128" s="386"/>
      <c r="R128" s="384"/>
      <c r="S128" s="385"/>
      <c r="T128" s="385"/>
      <c r="U128" s="386"/>
      <c r="V128" s="372"/>
      <c r="W128" s="372"/>
      <c r="X128" s="372"/>
      <c r="Y128" s="225"/>
      <c r="Z128" s="225"/>
      <c r="AA128" s="225"/>
      <c r="AB128" s="225"/>
      <c r="AC128" s="225"/>
      <c r="AD128" s="225"/>
    </row>
    <row r="129" spans="2:30" ht="13.05" customHeight="1">
      <c r="B129" s="424" t="s">
        <v>354</v>
      </c>
      <c r="C129" s="425"/>
      <c r="D129" s="426"/>
      <c r="E129" s="434" t="s">
        <v>353</v>
      </c>
      <c r="F129" s="435"/>
      <c r="G129" s="435"/>
      <c r="H129" s="435"/>
      <c r="I129" s="435"/>
      <c r="J129" s="435"/>
      <c r="K129" s="436"/>
      <c r="L129" s="224" t="s">
        <v>261</v>
      </c>
      <c r="M129" s="224"/>
      <c r="N129" s="381">
        <v>0</v>
      </c>
      <c r="O129" s="382"/>
      <c r="P129" s="382"/>
      <c r="Q129" s="383"/>
      <c r="R129" s="381">
        <v>0</v>
      </c>
      <c r="S129" s="382"/>
      <c r="T129" s="382"/>
      <c r="U129" s="383"/>
      <c r="V129" s="372"/>
      <c r="W129" s="372"/>
      <c r="X129" s="372"/>
      <c r="Y129" s="225"/>
      <c r="Z129" s="225"/>
      <c r="AA129" s="225"/>
      <c r="AB129" s="225"/>
      <c r="AC129" s="225"/>
      <c r="AD129" s="225"/>
    </row>
    <row r="130" spans="2:30" ht="13.05" customHeight="1">
      <c r="B130" s="427"/>
      <c r="C130" s="428"/>
      <c r="D130" s="429"/>
      <c r="E130" s="437"/>
      <c r="F130" s="438"/>
      <c r="G130" s="438"/>
      <c r="H130" s="438"/>
      <c r="I130" s="438"/>
      <c r="J130" s="438"/>
      <c r="K130" s="439"/>
      <c r="L130" s="224"/>
      <c r="M130" s="224"/>
      <c r="N130" s="384"/>
      <c r="O130" s="385"/>
      <c r="P130" s="385"/>
      <c r="Q130" s="386"/>
      <c r="R130" s="384"/>
      <c r="S130" s="385"/>
      <c r="T130" s="385"/>
      <c r="U130" s="386"/>
      <c r="V130" s="372"/>
      <c r="W130" s="372"/>
      <c r="X130" s="372"/>
      <c r="Y130" s="225"/>
      <c r="Z130" s="225"/>
      <c r="AA130" s="225"/>
      <c r="AB130" s="225"/>
      <c r="AC130" s="225"/>
      <c r="AD130" s="225"/>
    </row>
    <row r="131" spans="2:30" ht="13.05" customHeight="1">
      <c r="B131" s="379" t="s">
        <v>389</v>
      </c>
      <c r="C131" s="379"/>
      <c r="D131" s="379"/>
      <c r="E131" s="380" t="s">
        <v>388</v>
      </c>
      <c r="F131" s="380"/>
      <c r="G131" s="380"/>
      <c r="H131" s="380"/>
      <c r="I131" s="380"/>
      <c r="J131" s="380"/>
      <c r="K131" s="380"/>
      <c r="L131" s="224" t="s">
        <v>261</v>
      </c>
      <c r="M131" s="224"/>
      <c r="N131" s="381">
        <v>0</v>
      </c>
      <c r="O131" s="382"/>
      <c r="P131" s="382"/>
      <c r="Q131" s="383"/>
      <c r="R131" s="381">
        <v>1</v>
      </c>
      <c r="S131" s="382"/>
      <c r="T131" s="382"/>
      <c r="U131" s="383"/>
      <c r="V131" s="372"/>
      <c r="W131" s="372"/>
      <c r="X131" s="372"/>
      <c r="Y131" s="503"/>
      <c r="Z131" s="503"/>
      <c r="AA131" s="503"/>
      <c r="AB131" s="503"/>
      <c r="AC131" s="503"/>
      <c r="AD131" s="503"/>
    </row>
    <row r="132" spans="2:30" ht="13.05" customHeight="1">
      <c r="B132" s="379"/>
      <c r="C132" s="379"/>
      <c r="D132" s="379"/>
      <c r="E132" s="380"/>
      <c r="F132" s="380"/>
      <c r="G132" s="380"/>
      <c r="H132" s="380"/>
      <c r="I132" s="380"/>
      <c r="J132" s="380"/>
      <c r="K132" s="380"/>
      <c r="L132" s="224"/>
      <c r="M132" s="224"/>
      <c r="N132" s="384"/>
      <c r="O132" s="385"/>
      <c r="P132" s="385"/>
      <c r="Q132" s="386"/>
      <c r="R132" s="384"/>
      <c r="S132" s="385"/>
      <c r="T132" s="385"/>
      <c r="U132" s="386"/>
      <c r="V132" s="372"/>
      <c r="W132" s="372"/>
      <c r="X132" s="372"/>
      <c r="Y132" s="503"/>
      <c r="Z132" s="503"/>
      <c r="AA132" s="503"/>
      <c r="AB132" s="503"/>
      <c r="AC132" s="503"/>
      <c r="AD132" s="503"/>
    </row>
    <row r="133" spans="2:30" ht="13.05" customHeight="1">
      <c r="B133" s="424" t="s">
        <v>352</v>
      </c>
      <c r="C133" s="425"/>
      <c r="D133" s="426"/>
      <c r="E133" s="434" t="s">
        <v>674</v>
      </c>
      <c r="F133" s="435"/>
      <c r="G133" s="435"/>
      <c r="H133" s="435"/>
      <c r="I133" s="435"/>
      <c r="J133" s="435"/>
      <c r="K133" s="436"/>
      <c r="L133" s="245" t="s">
        <v>261</v>
      </c>
      <c r="M133" s="247"/>
      <c r="N133" s="381">
        <v>0</v>
      </c>
      <c r="O133" s="382"/>
      <c r="P133" s="382"/>
      <c r="Q133" s="383"/>
      <c r="R133" s="381">
        <v>1</v>
      </c>
      <c r="S133" s="382"/>
      <c r="T133" s="382"/>
      <c r="U133" s="383"/>
      <c r="V133" s="372"/>
      <c r="W133" s="372"/>
      <c r="X133" s="372"/>
      <c r="Y133" s="225"/>
      <c r="Z133" s="225"/>
      <c r="AA133" s="225"/>
      <c r="AB133" s="225"/>
      <c r="AC133" s="225"/>
      <c r="AD133" s="225"/>
    </row>
    <row r="134" spans="2:30" ht="13.05" customHeight="1">
      <c r="B134" s="427"/>
      <c r="C134" s="428"/>
      <c r="D134" s="429"/>
      <c r="E134" s="437"/>
      <c r="F134" s="438"/>
      <c r="G134" s="438"/>
      <c r="H134" s="438"/>
      <c r="I134" s="438"/>
      <c r="J134" s="438"/>
      <c r="K134" s="439"/>
      <c r="L134" s="248"/>
      <c r="M134" s="250"/>
      <c r="N134" s="384"/>
      <c r="O134" s="385"/>
      <c r="P134" s="385"/>
      <c r="Q134" s="386"/>
      <c r="R134" s="384"/>
      <c r="S134" s="385"/>
      <c r="T134" s="385"/>
      <c r="U134" s="386"/>
      <c r="V134" s="372"/>
      <c r="W134" s="372"/>
      <c r="X134" s="372"/>
      <c r="Y134" s="225"/>
      <c r="Z134" s="225"/>
      <c r="AA134" s="225"/>
      <c r="AB134" s="225"/>
      <c r="AC134" s="225"/>
      <c r="AD134" s="225"/>
    </row>
    <row r="135" spans="2:30" ht="13.05" customHeight="1">
      <c r="B135" s="424" t="s">
        <v>351</v>
      </c>
      <c r="C135" s="425"/>
      <c r="D135" s="426"/>
      <c r="E135" s="434" t="s">
        <v>350</v>
      </c>
      <c r="F135" s="435"/>
      <c r="G135" s="435"/>
      <c r="H135" s="435"/>
      <c r="I135" s="435"/>
      <c r="J135" s="435"/>
      <c r="K135" s="436"/>
      <c r="L135" s="224" t="s">
        <v>261</v>
      </c>
      <c r="M135" s="224"/>
      <c r="N135" s="381">
        <v>0</v>
      </c>
      <c r="O135" s="382"/>
      <c r="P135" s="382"/>
      <c r="Q135" s="383"/>
      <c r="R135" s="381">
        <v>1</v>
      </c>
      <c r="S135" s="382"/>
      <c r="T135" s="382"/>
      <c r="U135" s="383"/>
      <c r="V135" s="372"/>
      <c r="W135" s="372"/>
      <c r="X135" s="372"/>
      <c r="Y135" s="225"/>
      <c r="Z135" s="225"/>
      <c r="AA135" s="225"/>
      <c r="AB135" s="225"/>
      <c r="AC135" s="225"/>
      <c r="AD135" s="225"/>
    </row>
    <row r="136" spans="2:30" ht="13.05" customHeight="1">
      <c r="B136" s="427"/>
      <c r="C136" s="428"/>
      <c r="D136" s="429"/>
      <c r="E136" s="437"/>
      <c r="F136" s="438"/>
      <c r="G136" s="438"/>
      <c r="H136" s="438"/>
      <c r="I136" s="438"/>
      <c r="J136" s="438"/>
      <c r="K136" s="439"/>
      <c r="L136" s="224"/>
      <c r="M136" s="224"/>
      <c r="N136" s="384"/>
      <c r="O136" s="385"/>
      <c r="P136" s="385"/>
      <c r="Q136" s="386"/>
      <c r="R136" s="384"/>
      <c r="S136" s="385"/>
      <c r="T136" s="385"/>
      <c r="U136" s="386"/>
      <c r="V136" s="372"/>
      <c r="W136" s="372"/>
      <c r="X136" s="372"/>
      <c r="Y136" s="225"/>
      <c r="Z136" s="225"/>
      <c r="AA136" s="225"/>
      <c r="AB136" s="225"/>
      <c r="AC136" s="225"/>
      <c r="AD136" s="225"/>
    </row>
    <row r="137" spans="2:30" ht="13.05" customHeight="1">
      <c r="B137" s="446" t="s">
        <v>346</v>
      </c>
      <c r="C137" s="425"/>
      <c r="D137" s="426"/>
      <c r="E137" s="434" t="s">
        <v>345</v>
      </c>
      <c r="F137" s="435"/>
      <c r="G137" s="435"/>
      <c r="H137" s="435"/>
      <c r="I137" s="435"/>
      <c r="J137" s="435"/>
      <c r="K137" s="436"/>
      <c r="L137" s="224" t="s">
        <v>261</v>
      </c>
      <c r="M137" s="224"/>
      <c r="N137" s="381">
        <v>0</v>
      </c>
      <c r="O137" s="382"/>
      <c r="P137" s="382"/>
      <c r="Q137" s="383"/>
      <c r="R137" s="381">
        <v>1</v>
      </c>
      <c r="S137" s="382"/>
      <c r="T137" s="382"/>
      <c r="U137" s="383"/>
      <c r="V137" s="372"/>
      <c r="W137" s="372"/>
      <c r="X137" s="372"/>
      <c r="Y137" s="225"/>
      <c r="Z137" s="225"/>
      <c r="AA137" s="225"/>
      <c r="AB137" s="225"/>
      <c r="AC137" s="225"/>
      <c r="AD137" s="225"/>
    </row>
    <row r="138" spans="2:30" ht="13.05" customHeight="1">
      <c r="B138" s="427"/>
      <c r="C138" s="428"/>
      <c r="D138" s="429"/>
      <c r="E138" s="437"/>
      <c r="F138" s="438"/>
      <c r="G138" s="438"/>
      <c r="H138" s="438"/>
      <c r="I138" s="438"/>
      <c r="J138" s="438"/>
      <c r="K138" s="439"/>
      <c r="L138" s="224"/>
      <c r="M138" s="224"/>
      <c r="N138" s="384"/>
      <c r="O138" s="385"/>
      <c r="P138" s="385"/>
      <c r="Q138" s="386"/>
      <c r="R138" s="384"/>
      <c r="S138" s="385"/>
      <c r="T138" s="385"/>
      <c r="U138" s="386"/>
      <c r="V138" s="372"/>
      <c r="W138" s="372"/>
      <c r="X138" s="372"/>
      <c r="Y138" s="225"/>
      <c r="Z138" s="225"/>
      <c r="AA138" s="225"/>
      <c r="AB138" s="225"/>
      <c r="AC138" s="225"/>
      <c r="AD138" s="225"/>
    </row>
    <row r="139" spans="2:30" ht="13.5" customHeight="1">
      <c r="B139" s="424" t="s">
        <v>349</v>
      </c>
      <c r="C139" s="425"/>
      <c r="D139" s="426"/>
      <c r="E139" s="434" t="s">
        <v>348</v>
      </c>
      <c r="F139" s="435"/>
      <c r="G139" s="435"/>
      <c r="H139" s="435"/>
      <c r="I139" s="435"/>
      <c r="J139" s="435"/>
      <c r="K139" s="436"/>
      <c r="L139" s="224" t="s">
        <v>261</v>
      </c>
      <c r="M139" s="224"/>
      <c r="N139" s="381">
        <v>0</v>
      </c>
      <c r="O139" s="382"/>
      <c r="P139" s="382"/>
      <c r="Q139" s="383"/>
      <c r="R139" s="381">
        <v>1</v>
      </c>
      <c r="S139" s="382"/>
      <c r="T139" s="382"/>
      <c r="U139" s="383"/>
      <c r="V139" s="372"/>
      <c r="W139" s="372"/>
      <c r="X139" s="372"/>
      <c r="Y139" s="470"/>
      <c r="Z139" s="470"/>
      <c r="AA139" s="470"/>
      <c r="AB139" s="470"/>
      <c r="AC139" s="470"/>
      <c r="AD139" s="470"/>
    </row>
    <row r="140" spans="2:30" ht="13.5" customHeight="1">
      <c r="B140" s="427"/>
      <c r="C140" s="428"/>
      <c r="D140" s="429"/>
      <c r="E140" s="437"/>
      <c r="F140" s="438"/>
      <c r="G140" s="438"/>
      <c r="H140" s="438"/>
      <c r="I140" s="438"/>
      <c r="J140" s="438"/>
      <c r="K140" s="439"/>
      <c r="L140" s="224"/>
      <c r="M140" s="224"/>
      <c r="N140" s="384"/>
      <c r="O140" s="385"/>
      <c r="P140" s="385"/>
      <c r="Q140" s="386"/>
      <c r="R140" s="384"/>
      <c r="S140" s="385"/>
      <c r="T140" s="385"/>
      <c r="U140" s="386"/>
      <c r="V140" s="372"/>
      <c r="W140" s="372"/>
      <c r="X140" s="372"/>
      <c r="Y140" s="470"/>
      <c r="Z140" s="470"/>
      <c r="AA140" s="470"/>
      <c r="AB140" s="470"/>
      <c r="AC140" s="470"/>
      <c r="AD140" s="470"/>
    </row>
    <row r="141" spans="2:30" ht="13.5" customHeight="1">
      <c r="B141" s="446" t="s">
        <v>347</v>
      </c>
      <c r="C141" s="504"/>
      <c r="D141" s="505"/>
      <c r="E141" s="434" t="s">
        <v>675</v>
      </c>
      <c r="F141" s="435"/>
      <c r="G141" s="435"/>
      <c r="H141" s="435"/>
      <c r="I141" s="435"/>
      <c r="J141" s="435"/>
      <c r="K141" s="436"/>
      <c r="L141" s="224" t="s">
        <v>261</v>
      </c>
      <c r="M141" s="224"/>
      <c r="N141" s="381">
        <v>0</v>
      </c>
      <c r="O141" s="382"/>
      <c r="P141" s="382"/>
      <c r="Q141" s="383"/>
      <c r="R141" s="381">
        <v>1</v>
      </c>
      <c r="S141" s="382"/>
      <c r="T141" s="382"/>
      <c r="U141" s="383"/>
      <c r="V141" s="372"/>
      <c r="W141" s="372"/>
      <c r="X141" s="372"/>
      <c r="Y141" s="470"/>
      <c r="Z141" s="470"/>
      <c r="AA141" s="470"/>
      <c r="AB141" s="470"/>
      <c r="AC141" s="470"/>
      <c r="AD141" s="470"/>
    </row>
    <row r="142" spans="2:30" ht="13.5" customHeight="1">
      <c r="B142" s="506"/>
      <c r="C142" s="507"/>
      <c r="D142" s="508"/>
      <c r="E142" s="437"/>
      <c r="F142" s="438"/>
      <c r="G142" s="438"/>
      <c r="H142" s="438"/>
      <c r="I142" s="438"/>
      <c r="J142" s="438"/>
      <c r="K142" s="439"/>
      <c r="L142" s="224"/>
      <c r="M142" s="224"/>
      <c r="N142" s="384"/>
      <c r="O142" s="385"/>
      <c r="P142" s="385"/>
      <c r="Q142" s="386"/>
      <c r="R142" s="384"/>
      <c r="S142" s="385"/>
      <c r="T142" s="385"/>
      <c r="U142" s="386"/>
      <c r="V142" s="372"/>
      <c r="W142" s="372"/>
      <c r="X142" s="372"/>
      <c r="Y142" s="470"/>
      <c r="Z142" s="470"/>
      <c r="AA142" s="470"/>
      <c r="AB142" s="470"/>
      <c r="AC142" s="470"/>
      <c r="AD142" s="470"/>
    </row>
    <row r="143" spans="2:30" ht="13.05" customHeight="1">
      <c r="B143" s="432"/>
      <c r="C143" s="379"/>
      <c r="D143" s="379"/>
      <c r="E143" s="430"/>
      <c r="F143" s="430"/>
      <c r="G143" s="430"/>
      <c r="H143" s="430"/>
      <c r="I143" s="430"/>
      <c r="J143" s="430"/>
      <c r="K143" s="430"/>
      <c r="L143" s="224"/>
      <c r="M143" s="224"/>
      <c r="N143" s="381"/>
      <c r="O143" s="382"/>
      <c r="P143" s="382"/>
      <c r="Q143" s="383"/>
      <c r="R143" s="381"/>
      <c r="S143" s="382"/>
      <c r="T143" s="382"/>
      <c r="U143" s="383"/>
      <c r="V143" s="372"/>
      <c r="W143" s="372"/>
      <c r="X143" s="372"/>
      <c r="Y143" s="503"/>
      <c r="Z143" s="503"/>
      <c r="AA143" s="503"/>
      <c r="AB143" s="503"/>
      <c r="AC143" s="503"/>
      <c r="AD143" s="503"/>
    </row>
    <row r="144" spans="2:30" ht="13.05" customHeight="1">
      <c r="B144" s="379"/>
      <c r="C144" s="379"/>
      <c r="D144" s="379"/>
      <c r="E144" s="430"/>
      <c r="F144" s="430"/>
      <c r="G144" s="430"/>
      <c r="H144" s="430"/>
      <c r="I144" s="430"/>
      <c r="J144" s="430"/>
      <c r="K144" s="430"/>
      <c r="L144" s="224"/>
      <c r="M144" s="224"/>
      <c r="N144" s="384"/>
      <c r="O144" s="385"/>
      <c r="P144" s="385"/>
      <c r="Q144" s="386"/>
      <c r="R144" s="384"/>
      <c r="S144" s="385"/>
      <c r="T144" s="385"/>
      <c r="U144" s="386"/>
      <c r="V144" s="372"/>
      <c r="W144" s="372"/>
      <c r="X144" s="372"/>
      <c r="Y144" s="503"/>
      <c r="Z144" s="503"/>
      <c r="AA144" s="503"/>
      <c r="AB144" s="503"/>
      <c r="AC144" s="503"/>
      <c r="AD144" s="503"/>
    </row>
    <row r="145" spans="2:30">
      <c r="C145" s="22" t="str">
        <f>IF($C$72="","",$C$72)</f>
        <v>(様式-販売-１)Rev.2025.09.12</v>
      </c>
      <c r="Y145" s="458" t="str">
        <f>IF($Y$72="","",$Y$72)</f>
        <v>昭石化工株式会社</v>
      </c>
      <c r="Z145" s="458"/>
      <c r="AA145" s="458"/>
      <c r="AB145" s="458"/>
      <c r="AC145" s="458"/>
      <c r="AD145" s="458"/>
    </row>
    <row r="146" spans="2:30">
      <c r="B146" s="22" t="str">
        <f>IF($B$73="","",$B$73)</f>
        <v>販売現業所→カスタマーセンター→四日市工場</v>
      </c>
      <c r="Y146" s="459"/>
      <c r="Z146" s="459"/>
      <c r="AA146" s="459"/>
      <c r="AB146" s="459"/>
      <c r="AC146" s="459"/>
      <c r="AD146" s="459"/>
    </row>
    <row r="148" spans="2:30" ht="19.2">
      <c r="B148" s="708" t="str">
        <f>$B$2</f>
        <v>2026年</v>
      </c>
      <c r="C148" s="708"/>
      <c r="D148" s="708"/>
      <c r="E148" s="708"/>
      <c r="G148" s="460" t="str">
        <f>$G$2</f>
        <v/>
      </c>
      <c r="H148" s="460"/>
      <c r="I148" s="460"/>
      <c r="J148" s="23" t="s">
        <v>300</v>
      </c>
      <c r="K148" s="23"/>
      <c r="L148" s="23"/>
      <c r="M148" s="23"/>
      <c r="N148" s="24"/>
      <c r="O148" s="24"/>
      <c r="P148" s="24"/>
      <c r="Q148" s="24"/>
      <c r="R148" s="24"/>
      <c r="S148" s="24"/>
      <c r="T148" s="24"/>
      <c r="U148" s="24"/>
      <c r="V148" s="24"/>
      <c r="W148" s="24"/>
      <c r="X148" s="24"/>
      <c r="AC148" s="334" t="s">
        <v>344</v>
      </c>
      <c r="AD148" s="334"/>
    </row>
    <row r="150" spans="2:30" ht="13.2" customHeight="1">
      <c r="B150" s="408">
        <f>$B$4</f>
        <v>46133</v>
      </c>
      <c r="C150" s="409"/>
      <c r="D150" s="409"/>
      <c r="E150" s="409"/>
      <c r="F150" s="409"/>
      <c r="G150" s="409"/>
      <c r="H150" s="409"/>
      <c r="I150" s="409"/>
      <c r="J150" s="409"/>
      <c r="K150" s="409"/>
      <c r="L150" s="409"/>
      <c r="M150" s="409"/>
      <c r="N150" s="25"/>
      <c r="Q150" s="366" t="str">
        <f>$Q$4</f>
        <v>CC</v>
      </c>
      <c r="R150" s="367"/>
      <c r="S150" s="366" t="str">
        <f>$S$4</f>
        <v>CCｾﾝﾀｰ長</v>
      </c>
      <c r="T150" s="370"/>
      <c r="U150" s="367"/>
      <c r="V150" s="373" t="str">
        <f>$V$4</f>
        <v>承認者</v>
      </c>
      <c r="W150" s="374"/>
      <c r="X150" s="375"/>
      <c r="Y150" s="366" t="str">
        <f>$Y$4</f>
        <v>製造課</v>
      </c>
      <c r="Z150" s="370"/>
      <c r="AA150" s="367"/>
      <c r="AB150" s="366" t="str">
        <f>$AB$4</f>
        <v>業務課</v>
      </c>
      <c r="AC150" s="370"/>
      <c r="AD150" s="367"/>
    </row>
    <row r="151" spans="2:30" ht="13.2" customHeight="1">
      <c r="B151" s="410"/>
      <c r="C151" s="411"/>
      <c r="D151" s="411"/>
      <c r="E151" s="411"/>
      <c r="F151" s="411"/>
      <c r="G151" s="411"/>
      <c r="H151" s="411"/>
      <c r="I151" s="411"/>
      <c r="J151" s="411"/>
      <c r="K151" s="411"/>
      <c r="L151" s="411"/>
      <c r="M151" s="411"/>
      <c r="N151" s="26"/>
      <c r="Q151" s="368"/>
      <c r="R151" s="369"/>
      <c r="S151" s="368"/>
      <c r="T151" s="371"/>
      <c r="U151" s="369"/>
      <c r="V151" s="448" t="str">
        <f>$V$5</f>
        <v>（工場長）</v>
      </c>
      <c r="W151" s="449"/>
      <c r="X151" s="450"/>
      <c r="Y151" s="368"/>
      <c r="Z151" s="371"/>
      <c r="AA151" s="369"/>
      <c r="AB151" s="368"/>
      <c r="AC151" s="371"/>
      <c r="AD151" s="369"/>
    </row>
    <row r="152" spans="2:30" ht="13.2" customHeight="1">
      <c r="B152" s="195" t="str">
        <f>IF($B$6="","",$B$6)</f>
        <v>首都圏オフィス</v>
      </c>
      <c r="C152" s="196"/>
      <c r="D152" s="196"/>
      <c r="E152" s="196"/>
      <c r="F152" s="196"/>
      <c r="G152" s="196"/>
      <c r="H152" s="197"/>
      <c r="I152" s="518" t="str">
        <f>$I$6</f>
        <v>承認者</v>
      </c>
      <c r="J152" s="396" t="e" vm="1">
        <v>#VALUE!</v>
      </c>
      <c r="K152" s="396"/>
      <c r="L152" s="466" t="str">
        <f>$L$6</f>
        <v>担当者</v>
      </c>
      <c r="M152" s="30"/>
      <c r="N152" s="31"/>
      <c r="Q152" s="27"/>
      <c r="R152" s="28"/>
      <c r="S152" s="366" t="str">
        <f>IF($S$6="","",$S$6)</f>
        <v/>
      </c>
      <c r="T152" s="370"/>
      <c r="U152" s="367"/>
      <c r="V152" s="366" t="str">
        <f>IF($V$6="","",$V$6)</f>
        <v/>
      </c>
      <c r="W152" s="370"/>
      <c r="X152" s="367"/>
      <c r="Y152" s="366" t="str">
        <f>IF($Y$6="","",$Y$6)</f>
        <v/>
      </c>
      <c r="Z152" s="370"/>
      <c r="AA152" s="367"/>
      <c r="AB152" s="366" t="str">
        <f>IF($AB$6="","",$AB$6)</f>
        <v/>
      </c>
      <c r="AC152" s="370"/>
      <c r="AD152" s="367"/>
    </row>
    <row r="153" spans="2:30" ht="13.05" customHeight="1">
      <c r="B153" s="198"/>
      <c r="C153" s="199"/>
      <c r="D153" s="199"/>
      <c r="E153" s="199"/>
      <c r="F153" s="199"/>
      <c r="G153" s="199"/>
      <c r="H153" s="200"/>
      <c r="I153" s="519"/>
      <c r="J153" s="396"/>
      <c r="K153" s="396"/>
      <c r="L153" s="467"/>
      <c r="M153" s="32" t="str">
        <f>IF($M$7="","",$M$7)</f>
        <v/>
      </c>
      <c r="N153" s="33"/>
      <c r="Q153" s="366" t="str">
        <f>$Q$7</f>
        <v>四工</v>
      </c>
      <c r="R153" s="367"/>
      <c r="S153" s="397"/>
      <c r="T153" s="398"/>
      <c r="U153" s="399"/>
      <c r="V153" s="397"/>
      <c r="W153" s="398"/>
      <c r="X153" s="399"/>
      <c r="Y153" s="397"/>
      <c r="Z153" s="398"/>
      <c r="AA153" s="399"/>
      <c r="AB153" s="397"/>
      <c r="AC153" s="398"/>
      <c r="AD153" s="399"/>
    </row>
    <row r="154" spans="2:30" ht="13.05" customHeight="1">
      <c r="B154" s="201"/>
      <c r="C154" s="202"/>
      <c r="D154" s="202"/>
      <c r="E154" s="202"/>
      <c r="F154" s="202"/>
      <c r="G154" s="202"/>
      <c r="H154" s="203"/>
      <c r="I154" s="520"/>
      <c r="J154" s="396"/>
      <c r="K154" s="396"/>
      <c r="L154" s="468"/>
      <c r="M154" s="34"/>
      <c r="N154" s="35"/>
      <c r="Q154" s="368"/>
      <c r="R154" s="369"/>
      <c r="S154" s="368"/>
      <c r="T154" s="371"/>
      <c r="U154" s="369"/>
      <c r="V154" s="368"/>
      <c r="W154" s="371"/>
      <c r="X154" s="369"/>
      <c r="Y154" s="368"/>
      <c r="Z154" s="371"/>
      <c r="AA154" s="369"/>
      <c r="AB154" s="368"/>
      <c r="AC154" s="371"/>
      <c r="AD154" s="369"/>
    </row>
    <row r="155" spans="2:30">
      <c r="S155" s="11" t="s">
        <v>306</v>
      </c>
    </row>
    <row r="157" spans="2:30" ht="13.2" customHeight="1">
      <c r="B157" s="29"/>
      <c r="C157" s="10"/>
      <c r="D157" s="10"/>
      <c r="E157" s="10"/>
      <c r="F157" s="10"/>
      <c r="G157" s="10"/>
      <c r="H157" s="10"/>
      <c r="I157" s="10"/>
      <c r="J157" s="10"/>
      <c r="K157" s="10"/>
      <c r="L157" s="10"/>
      <c r="M157" s="10"/>
      <c r="N157" s="9"/>
      <c r="O157" s="9"/>
      <c r="P157" s="9"/>
      <c r="Q157" s="9"/>
      <c r="R157" s="9"/>
      <c r="S157" s="9"/>
      <c r="T157" s="9"/>
      <c r="U157" s="9"/>
      <c r="V157" s="9"/>
      <c r="W157" s="9"/>
      <c r="X157" s="9"/>
      <c r="Y157" s="9"/>
      <c r="Z157" s="9"/>
      <c r="AA157" s="9"/>
      <c r="AB157" s="9"/>
      <c r="AC157" s="9"/>
      <c r="AD157" s="8"/>
    </row>
    <row r="158" spans="2:30" ht="13.2" customHeight="1">
      <c r="B158" s="12" t="s">
        <v>587</v>
      </c>
      <c r="C158" s="7"/>
      <c r="D158" s="7"/>
      <c r="E158" s="7"/>
      <c r="F158" s="7"/>
      <c r="G158" s="7"/>
      <c r="H158" s="7"/>
      <c r="I158" s="7"/>
      <c r="J158" s="7"/>
      <c r="K158" s="7"/>
      <c r="L158" s="7"/>
      <c r="M158" s="7"/>
      <c r="N158" s="6"/>
      <c r="O158" s="6"/>
      <c r="P158" s="6"/>
      <c r="Q158" s="6"/>
      <c r="R158" s="6"/>
      <c r="S158" s="6"/>
      <c r="T158" s="6"/>
      <c r="U158" s="6"/>
      <c r="V158" s="6"/>
      <c r="W158" s="6"/>
      <c r="X158" s="6"/>
      <c r="Y158" s="6"/>
      <c r="Z158" s="6"/>
      <c r="AA158" s="6"/>
      <c r="AB158" s="6"/>
      <c r="AC158" s="6"/>
      <c r="AD158" s="5"/>
    </row>
    <row r="159" spans="2:30" ht="13.2" customHeight="1">
      <c r="B159" s="4"/>
      <c r="C159" s="3"/>
      <c r="D159" s="3"/>
      <c r="E159" s="3"/>
      <c r="F159" s="3"/>
      <c r="G159" s="3"/>
      <c r="H159" s="3"/>
      <c r="I159" s="3"/>
      <c r="J159" s="3"/>
      <c r="K159" s="3"/>
      <c r="L159" s="3"/>
      <c r="M159" s="3"/>
      <c r="N159" s="2"/>
      <c r="O159" s="2"/>
      <c r="P159" s="2"/>
      <c r="Q159" s="2"/>
      <c r="R159" s="2"/>
      <c r="S159" s="2"/>
      <c r="T159" s="2"/>
      <c r="U159" s="2"/>
      <c r="V159" s="2"/>
      <c r="W159" s="2"/>
      <c r="X159" s="2"/>
      <c r="Y159" s="2"/>
      <c r="Z159" s="2"/>
      <c r="AA159" s="2"/>
      <c r="AB159" s="2"/>
      <c r="AC159" s="2"/>
      <c r="AD159" s="1"/>
    </row>
    <row r="160" spans="2:30" ht="13.5" customHeight="1">
      <c r="B160" s="264" t="s">
        <v>298</v>
      </c>
      <c r="C160" s="265"/>
      <c r="D160" s="265"/>
      <c r="E160" s="265"/>
      <c r="F160" s="265"/>
      <c r="G160" s="265"/>
      <c r="H160" s="265"/>
      <c r="I160" s="265"/>
      <c r="J160" s="265"/>
      <c r="K160" s="266"/>
      <c r="L160" s="521" t="s">
        <v>297</v>
      </c>
      <c r="M160" s="522"/>
      <c r="N160" s="400" t="s">
        <v>296</v>
      </c>
      <c r="O160" s="401"/>
      <c r="P160" s="401"/>
      <c r="Q160" s="401"/>
      <c r="R160" s="401"/>
      <c r="S160" s="401"/>
      <c r="T160" s="401"/>
      <c r="U160" s="402"/>
      <c r="V160" s="373" t="s">
        <v>295</v>
      </c>
      <c r="W160" s="374"/>
      <c r="X160" s="375"/>
      <c r="Y160" s="509" t="s">
        <v>702</v>
      </c>
      <c r="Z160" s="510"/>
      <c r="AA160" s="510"/>
      <c r="AB160" s="510"/>
      <c r="AC160" s="510"/>
      <c r="AD160" s="511"/>
    </row>
    <row r="161" spans="2:30" ht="13.2" customHeight="1">
      <c r="B161" s="534"/>
      <c r="C161" s="535"/>
      <c r="D161" s="535"/>
      <c r="E161" s="535"/>
      <c r="F161" s="535"/>
      <c r="G161" s="535"/>
      <c r="H161" s="535"/>
      <c r="I161" s="535"/>
      <c r="J161" s="535"/>
      <c r="K161" s="536"/>
      <c r="L161" s="523"/>
      <c r="M161" s="524"/>
      <c r="N161" s="412"/>
      <c r="O161" s="413"/>
      <c r="P161" s="413"/>
      <c r="Q161" s="413"/>
      <c r="R161" s="413"/>
      <c r="S161" s="413"/>
      <c r="T161" s="413"/>
      <c r="U161" s="414"/>
      <c r="V161" s="527"/>
      <c r="W161" s="528"/>
      <c r="X161" s="529"/>
      <c r="Y161" s="512"/>
      <c r="Z161" s="513"/>
      <c r="AA161" s="513"/>
      <c r="AB161" s="513"/>
      <c r="AC161" s="513"/>
      <c r="AD161" s="514"/>
    </row>
    <row r="162" spans="2:30" ht="13.2" customHeight="1">
      <c r="B162" s="534"/>
      <c r="C162" s="535"/>
      <c r="D162" s="535"/>
      <c r="E162" s="535"/>
      <c r="F162" s="535"/>
      <c r="G162" s="535"/>
      <c r="H162" s="535"/>
      <c r="I162" s="535"/>
      <c r="J162" s="535"/>
      <c r="K162" s="536"/>
      <c r="L162" s="523"/>
      <c r="M162" s="524"/>
      <c r="N162" s="400" t="s">
        <v>294</v>
      </c>
      <c r="O162" s="401"/>
      <c r="P162" s="401"/>
      <c r="Q162" s="402"/>
      <c r="R162" s="400" t="s">
        <v>293</v>
      </c>
      <c r="S162" s="401"/>
      <c r="T162" s="401"/>
      <c r="U162" s="402"/>
      <c r="V162" s="527"/>
      <c r="W162" s="528"/>
      <c r="X162" s="529"/>
      <c r="Y162" s="512"/>
      <c r="Z162" s="513"/>
      <c r="AA162" s="513"/>
      <c r="AB162" s="513"/>
      <c r="AC162" s="513"/>
      <c r="AD162" s="514"/>
    </row>
    <row r="163" spans="2:30" ht="13.95" customHeight="1" thickBot="1">
      <c r="B163" s="537"/>
      <c r="C163" s="538"/>
      <c r="D163" s="538"/>
      <c r="E163" s="538"/>
      <c r="F163" s="538"/>
      <c r="G163" s="538"/>
      <c r="H163" s="538"/>
      <c r="I163" s="538"/>
      <c r="J163" s="538"/>
      <c r="K163" s="539"/>
      <c r="L163" s="525"/>
      <c r="M163" s="526"/>
      <c r="N163" s="403"/>
      <c r="O163" s="404"/>
      <c r="P163" s="404"/>
      <c r="Q163" s="405"/>
      <c r="R163" s="403"/>
      <c r="S163" s="404"/>
      <c r="T163" s="404"/>
      <c r="U163" s="405"/>
      <c r="V163" s="530"/>
      <c r="W163" s="531"/>
      <c r="X163" s="532"/>
      <c r="Y163" s="515"/>
      <c r="Z163" s="516"/>
      <c r="AA163" s="516"/>
      <c r="AB163" s="516"/>
      <c r="AC163" s="516"/>
      <c r="AD163" s="517"/>
    </row>
    <row r="164" spans="2:30" ht="14.25" customHeight="1" thickTop="1">
      <c r="B164" s="379" t="s">
        <v>343</v>
      </c>
      <c r="C164" s="379"/>
      <c r="D164" s="379"/>
      <c r="E164" s="380" t="s">
        <v>342</v>
      </c>
      <c r="F164" s="380"/>
      <c r="G164" s="380"/>
      <c r="H164" s="380"/>
      <c r="I164" s="380"/>
      <c r="J164" s="380"/>
      <c r="K164" s="380"/>
      <c r="L164" s="461" t="s">
        <v>261</v>
      </c>
      <c r="M164" s="461"/>
      <c r="N164" s="421">
        <v>0</v>
      </c>
      <c r="O164" s="422"/>
      <c r="P164" s="422"/>
      <c r="Q164" s="423"/>
      <c r="R164" s="421">
        <v>0</v>
      </c>
      <c r="S164" s="422"/>
      <c r="T164" s="422"/>
      <c r="U164" s="423"/>
      <c r="V164" s="462"/>
      <c r="W164" s="463"/>
      <c r="X164" s="464"/>
      <c r="Y164" s="533"/>
      <c r="Z164" s="533"/>
      <c r="AA164" s="533"/>
      <c r="AB164" s="533"/>
      <c r="AC164" s="533"/>
      <c r="AD164" s="533"/>
    </row>
    <row r="165" spans="2:30" ht="13.5" customHeight="1">
      <c r="B165" s="379"/>
      <c r="C165" s="379"/>
      <c r="D165" s="379"/>
      <c r="E165" s="380"/>
      <c r="F165" s="380"/>
      <c r="G165" s="380"/>
      <c r="H165" s="380"/>
      <c r="I165" s="380"/>
      <c r="J165" s="380"/>
      <c r="K165" s="380"/>
      <c r="L165" s="224"/>
      <c r="M165" s="224"/>
      <c r="N165" s="384"/>
      <c r="O165" s="385"/>
      <c r="P165" s="385"/>
      <c r="Q165" s="386"/>
      <c r="R165" s="384"/>
      <c r="S165" s="385"/>
      <c r="T165" s="385"/>
      <c r="U165" s="386"/>
      <c r="V165" s="368"/>
      <c r="W165" s="371"/>
      <c r="X165" s="369"/>
      <c r="Y165" s="225"/>
      <c r="Z165" s="225"/>
      <c r="AA165" s="225"/>
      <c r="AB165" s="225"/>
      <c r="AC165" s="225"/>
      <c r="AD165" s="225"/>
    </row>
    <row r="166" spans="2:30" ht="13.5" customHeight="1">
      <c r="B166" s="379" t="s">
        <v>341</v>
      </c>
      <c r="C166" s="379"/>
      <c r="D166" s="379"/>
      <c r="E166" s="380" t="s">
        <v>340</v>
      </c>
      <c r="F166" s="380"/>
      <c r="G166" s="380"/>
      <c r="H166" s="380"/>
      <c r="I166" s="380"/>
      <c r="J166" s="380"/>
      <c r="K166" s="380"/>
      <c r="L166" s="224" t="s">
        <v>261</v>
      </c>
      <c r="M166" s="224"/>
      <c r="N166" s="381">
        <v>0</v>
      </c>
      <c r="O166" s="382"/>
      <c r="P166" s="382"/>
      <c r="Q166" s="383"/>
      <c r="R166" s="381">
        <v>0</v>
      </c>
      <c r="S166" s="382"/>
      <c r="T166" s="382"/>
      <c r="U166" s="383"/>
      <c r="V166" s="366"/>
      <c r="W166" s="370"/>
      <c r="X166" s="367"/>
      <c r="Y166" s="225"/>
      <c r="Z166" s="225"/>
      <c r="AA166" s="225"/>
      <c r="AB166" s="225"/>
      <c r="AC166" s="225"/>
      <c r="AD166" s="225"/>
    </row>
    <row r="167" spans="2:30" ht="13.5" customHeight="1">
      <c r="B167" s="379"/>
      <c r="C167" s="379"/>
      <c r="D167" s="379"/>
      <c r="E167" s="380"/>
      <c r="F167" s="380"/>
      <c r="G167" s="380"/>
      <c r="H167" s="380"/>
      <c r="I167" s="380"/>
      <c r="J167" s="380"/>
      <c r="K167" s="380"/>
      <c r="L167" s="224"/>
      <c r="M167" s="224"/>
      <c r="N167" s="384"/>
      <c r="O167" s="385"/>
      <c r="P167" s="385"/>
      <c r="Q167" s="386"/>
      <c r="R167" s="384"/>
      <c r="S167" s="385"/>
      <c r="T167" s="385"/>
      <c r="U167" s="386"/>
      <c r="V167" s="368"/>
      <c r="W167" s="371"/>
      <c r="X167" s="369"/>
      <c r="Y167" s="225"/>
      <c r="Z167" s="225"/>
      <c r="AA167" s="225"/>
      <c r="AB167" s="225"/>
      <c r="AC167" s="225"/>
      <c r="AD167" s="225"/>
    </row>
    <row r="168" spans="2:30" ht="13.5" customHeight="1">
      <c r="B168" s="424" t="s">
        <v>339</v>
      </c>
      <c r="C168" s="425"/>
      <c r="D168" s="426"/>
      <c r="E168" s="434" t="s">
        <v>338</v>
      </c>
      <c r="F168" s="435"/>
      <c r="G168" s="435"/>
      <c r="H168" s="435"/>
      <c r="I168" s="435"/>
      <c r="J168" s="435"/>
      <c r="K168" s="436"/>
      <c r="L168" s="245" t="s">
        <v>261</v>
      </c>
      <c r="M168" s="247"/>
      <c r="N168" s="381">
        <v>0</v>
      </c>
      <c r="O168" s="382"/>
      <c r="P168" s="382"/>
      <c r="Q168" s="383"/>
      <c r="R168" s="381">
        <v>0</v>
      </c>
      <c r="S168" s="382"/>
      <c r="T168" s="382"/>
      <c r="U168" s="383"/>
      <c r="V168" s="366"/>
      <c r="W168" s="370"/>
      <c r="X168" s="367"/>
      <c r="Y168" s="225"/>
      <c r="Z168" s="225"/>
      <c r="AA168" s="225"/>
      <c r="AB168" s="225"/>
      <c r="AC168" s="225"/>
      <c r="AD168" s="225"/>
    </row>
    <row r="169" spans="2:30" ht="13.5" customHeight="1">
      <c r="B169" s="427"/>
      <c r="C169" s="428"/>
      <c r="D169" s="429"/>
      <c r="E169" s="437"/>
      <c r="F169" s="438"/>
      <c r="G169" s="438"/>
      <c r="H169" s="438"/>
      <c r="I169" s="438"/>
      <c r="J169" s="438"/>
      <c r="K169" s="439"/>
      <c r="L169" s="248"/>
      <c r="M169" s="250"/>
      <c r="N169" s="384"/>
      <c r="O169" s="385"/>
      <c r="P169" s="385"/>
      <c r="Q169" s="386"/>
      <c r="R169" s="384"/>
      <c r="S169" s="385"/>
      <c r="T169" s="385"/>
      <c r="U169" s="386"/>
      <c r="V169" s="368"/>
      <c r="W169" s="371"/>
      <c r="X169" s="369"/>
      <c r="Y169" s="225"/>
      <c r="Z169" s="225"/>
      <c r="AA169" s="225"/>
      <c r="AB169" s="225"/>
      <c r="AC169" s="225"/>
      <c r="AD169" s="225"/>
    </row>
    <row r="170" spans="2:30" ht="13.5" customHeight="1">
      <c r="B170" s="424" t="s">
        <v>337</v>
      </c>
      <c r="C170" s="425"/>
      <c r="D170" s="426"/>
      <c r="E170" s="434" t="s">
        <v>336</v>
      </c>
      <c r="F170" s="435"/>
      <c r="G170" s="435"/>
      <c r="H170" s="435"/>
      <c r="I170" s="435"/>
      <c r="J170" s="435"/>
      <c r="K170" s="436"/>
      <c r="L170" s="245" t="s">
        <v>261</v>
      </c>
      <c r="M170" s="247"/>
      <c r="N170" s="381">
        <v>0</v>
      </c>
      <c r="O170" s="382"/>
      <c r="P170" s="382"/>
      <c r="Q170" s="383"/>
      <c r="R170" s="381">
        <v>0</v>
      </c>
      <c r="S170" s="382"/>
      <c r="T170" s="382"/>
      <c r="U170" s="383"/>
      <c r="V170" s="366"/>
      <c r="W170" s="370"/>
      <c r="X170" s="367"/>
      <c r="Y170" s="225"/>
      <c r="Z170" s="225"/>
      <c r="AA170" s="225"/>
      <c r="AB170" s="225"/>
      <c r="AC170" s="225"/>
      <c r="AD170" s="225"/>
    </row>
    <row r="171" spans="2:30" ht="13.5" customHeight="1">
      <c r="B171" s="427"/>
      <c r="C171" s="428"/>
      <c r="D171" s="429"/>
      <c r="E171" s="437"/>
      <c r="F171" s="438"/>
      <c r="G171" s="438"/>
      <c r="H171" s="438"/>
      <c r="I171" s="438"/>
      <c r="J171" s="438"/>
      <c r="K171" s="439"/>
      <c r="L171" s="248"/>
      <c r="M171" s="250"/>
      <c r="N171" s="384"/>
      <c r="O171" s="385"/>
      <c r="P171" s="385"/>
      <c r="Q171" s="386"/>
      <c r="R171" s="384"/>
      <c r="S171" s="385"/>
      <c r="T171" s="385"/>
      <c r="U171" s="386"/>
      <c r="V171" s="368"/>
      <c r="W171" s="371"/>
      <c r="X171" s="369"/>
      <c r="Y171" s="225"/>
      <c r="Z171" s="225"/>
      <c r="AA171" s="225"/>
      <c r="AB171" s="225"/>
      <c r="AC171" s="225"/>
      <c r="AD171" s="225"/>
    </row>
    <row r="172" spans="2:30" ht="13.5" customHeight="1">
      <c r="B172" s="424" t="s">
        <v>335</v>
      </c>
      <c r="C172" s="425"/>
      <c r="D172" s="426"/>
      <c r="E172" s="434" t="s">
        <v>334</v>
      </c>
      <c r="F172" s="435"/>
      <c r="G172" s="435"/>
      <c r="H172" s="435"/>
      <c r="I172" s="435"/>
      <c r="J172" s="435"/>
      <c r="K172" s="436"/>
      <c r="L172" s="245" t="s">
        <v>261</v>
      </c>
      <c r="M172" s="247"/>
      <c r="N172" s="381">
        <v>0</v>
      </c>
      <c r="O172" s="382"/>
      <c r="P172" s="382"/>
      <c r="Q172" s="383"/>
      <c r="R172" s="381">
        <v>0</v>
      </c>
      <c r="S172" s="382"/>
      <c r="T172" s="382"/>
      <c r="U172" s="383"/>
      <c r="V172" s="366"/>
      <c r="W172" s="370"/>
      <c r="X172" s="367"/>
      <c r="Y172" s="470"/>
      <c r="Z172" s="470"/>
      <c r="AA172" s="470"/>
      <c r="AB172" s="470"/>
      <c r="AC172" s="470"/>
      <c r="AD172" s="470"/>
    </row>
    <row r="173" spans="2:30" ht="13.5" customHeight="1">
      <c r="B173" s="427"/>
      <c r="C173" s="428"/>
      <c r="D173" s="429"/>
      <c r="E173" s="437"/>
      <c r="F173" s="438"/>
      <c r="G173" s="438"/>
      <c r="H173" s="438"/>
      <c r="I173" s="438"/>
      <c r="J173" s="438"/>
      <c r="K173" s="439"/>
      <c r="L173" s="248"/>
      <c r="M173" s="250"/>
      <c r="N173" s="384"/>
      <c r="O173" s="385"/>
      <c r="P173" s="385"/>
      <c r="Q173" s="386"/>
      <c r="R173" s="384"/>
      <c r="S173" s="385"/>
      <c r="T173" s="385"/>
      <c r="U173" s="386"/>
      <c r="V173" s="368"/>
      <c r="W173" s="371"/>
      <c r="X173" s="369"/>
      <c r="Y173" s="470"/>
      <c r="Z173" s="470"/>
      <c r="AA173" s="470"/>
      <c r="AB173" s="470"/>
      <c r="AC173" s="470"/>
      <c r="AD173" s="470"/>
    </row>
    <row r="174" spans="2:30" ht="13.5" customHeight="1">
      <c r="B174" s="424" t="s">
        <v>333</v>
      </c>
      <c r="C174" s="425"/>
      <c r="D174" s="426"/>
      <c r="E174" s="434" t="s">
        <v>332</v>
      </c>
      <c r="F174" s="435"/>
      <c r="G174" s="435"/>
      <c r="H174" s="435"/>
      <c r="I174" s="435"/>
      <c r="J174" s="435"/>
      <c r="K174" s="436"/>
      <c r="L174" s="245" t="s">
        <v>261</v>
      </c>
      <c r="M174" s="247"/>
      <c r="N174" s="381">
        <v>0</v>
      </c>
      <c r="O174" s="382"/>
      <c r="P174" s="382"/>
      <c r="Q174" s="383"/>
      <c r="R174" s="381">
        <v>0</v>
      </c>
      <c r="S174" s="382"/>
      <c r="T174" s="382"/>
      <c r="U174" s="383"/>
      <c r="V174" s="366"/>
      <c r="W174" s="370"/>
      <c r="X174" s="367"/>
      <c r="Y174" s="225"/>
      <c r="Z174" s="225"/>
      <c r="AA174" s="225"/>
      <c r="AB174" s="225"/>
      <c r="AC174" s="225"/>
      <c r="AD174" s="225"/>
    </row>
    <row r="175" spans="2:30" ht="13.5" customHeight="1">
      <c r="B175" s="427"/>
      <c r="C175" s="428"/>
      <c r="D175" s="429"/>
      <c r="E175" s="437"/>
      <c r="F175" s="438"/>
      <c r="G175" s="438"/>
      <c r="H175" s="438"/>
      <c r="I175" s="438"/>
      <c r="J175" s="438"/>
      <c r="K175" s="439"/>
      <c r="L175" s="248"/>
      <c r="M175" s="250"/>
      <c r="N175" s="384"/>
      <c r="O175" s="385"/>
      <c r="P175" s="385"/>
      <c r="Q175" s="386"/>
      <c r="R175" s="384"/>
      <c r="S175" s="385"/>
      <c r="T175" s="385"/>
      <c r="U175" s="386"/>
      <c r="V175" s="368"/>
      <c r="W175" s="371"/>
      <c r="X175" s="369"/>
      <c r="Y175" s="225"/>
      <c r="Z175" s="225"/>
      <c r="AA175" s="225"/>
      <c r="AB175" s="225"/>
      <c r="AC175" s="225"/>
      <c r="AD175" s="225"/>
    </row>
    <row r="176" spans="2:30" ht="13.5" customHeight="1">
      <c r="B176" s="424" t="s">
        <v>331</v>
      </c>
      <c r="C176" s="425"/>
      <c r="D176" s="426"/>
      <c r="E176" s="434" t="s">
        <v>330</v>
      </c>
      <c r="F176" s="435"/>
      <c r="G176" s="435"/>
      <c r="H176" s="435"/>
      <c r="I176" s="435"/>
      <c r="J176" s="435"/>
      <c r="K176" s="436"/>
      <c r="L176" s="245" t="s">
        <v>261</v>
      </c>
      <c r="M176" s="247"/>
      <c r="N176" s="381">
        <v>0</v>
      </c>
      <c r="O176" s="382"/>
      <c r="P176" s="382"/>
      <c r="Q176" s="383"/>
      <c r="R176" s="381">
        <v>0</v>
      </c>
      <c r="S176" s="382"/>
      <c r="T176" s="382"/>
      <c r="U176" s="383"/>
      <c r="V176" s="366"/>
      <c r="W176" s="370"/>
      <c r="X176" s="367"/>
      <c r="Y176" s="225"/>
      <c r="Z176" s="225"/>
      <c r="AA176" s="225"/>
      <c r="AB176" s="225"/>
      <c r="AC176" s="225"/>
      <c r="AD176" s="225"/>
    </row>
    <row r="177" spans="2:30" ht="13.5" customHeight="1">
      <c r="B177" s="427"/>
      <c r="C177" s="428"/>
      <c r="D177" s="429"/>
      <c r="E177" s="437"/>
      <c r="F177" s="438"/>
      <c r="G177" s="438"/>
      <c r="H177" s="438"/>
      <c r="I177" s="438"/>
      <c r="J177" s="438"/>
      <c r="K177" s="439"/>
      <c r="L177" s="248"/>
      <c r="M177" s="250"/>
      <c r="N177" s="384"/>
      <c r="O177" s="385"/>
      <c r="P177" s="385"/>
      <c r="Q177" s="386"/>
      <c r="R177" s="384"/>
      <c r="S177" s="385"/>
      <c r="T177" s="385"/>
      <c r="U177" s="386"/>
      <c r="V177" s="368"/>
      <c r="W177" s="371"/>
      <c r="X177" s="369"/>
      <c r="Y177" s="225"/>
      <c r="Z177" s="225"/>
      <c r="AA177" s="225"/>
      <c r="AB177" s="225"/>
      <c r="AC177" s="225"/>
      <c r="AD177" s="225"/>
    </row>
    <row r="178" spans="2:30" ht="13.5" customHeight="1">
      <c r="B178" s="540" t="s">
        <v>679</v>
      </c>
      <c r="C178" s="541"/>
      <c r="D178" s="542"/>
      <c r="E178" s="440" t="s">
        <v>680</v>
      </c>
      <c r="F178" s="441"/>
      <c r="G178" s="441"/>
      <c r="H178" s="441"/>
      <c r="I178" s="441"/>
      <c r="J178" s="441"/>
      <c r="K178" s="442"/>
      <c r="L178" s="245" t="s">
        <v>261</v>
      </c>
      <c r="M178" s="247"/>
      <c r="N178" s="485">
        <v>0</v>
      </c>
      <c r="O178" s="486"/>
      <c r="P178" s="486"/>
      <c r="Q178" s="487"/>
      <c r="R178" s="485">
        <v>0</v>
      </c>
      <c r="S178" s="486"/>
      <c r="T178" s="486"/>
      <c r="U178" s="487"/>
      <c r="V178" s="366"/>
      <c r="W178" s="370"/>
      <c r="X178" s="367"/>
      <c r="Y178" s="225"/>
      <c r="Z178" s="225"/>
      <c r="AA178" s="225"/>
      <c r="AB178" s="225"/>
      <c r="AC178" s="225"/>
      <c r="AD178" s="225"/>
    </row>
    <row r="179" spans="2:30" ht="13.5" customHeight="1">
      <c r="B179" s="543"/>
      <c r="C179" s="544"/>
      <c r="D179" s="545"/>
      <c r="E179" s="443"/>
      <c r="F179" s="444"/>
      <c r="G179" s="444"/>
      <c r="H179" s="444"/>
      <c r="I179" s="444"/>
      <c r="J179" s="444"/>
      <c r="K179" s="445"/>
      <c r="L179" s="248"/>
      <c r="M179" s="250"/>
      <c r="N179" s="488"/>
      <c r="O179" s="489"/>
      <c r="P179" s="489"/>
      <c r="Q179" s="490"/>
      <c r="R179" s="488"/>
      <c r="S179" s="489"/>
      <c r="T179" s="489"/>
      <c r="U179" s="490"/>
      <c r="V179" s="368"/>
      <c r="W179" s="371"/>
      <c r="X179" s="369"/>
      <c r="Y179" s="225"/>
      <c r="Z179" s="225"/>
      <c r="AA179" s="225"/>
      <c r="AB179" s="225"/>
      <c r="AC179" s="225"/>
      <c r="AD179" s="225"/>
    </row>
    <row r="180" spans="2:30" ht="13.5" customHeight="1">
      <c r="B180" s="379" t="s">
        <v>387</v>
      </c>
      <c r="C180" s="379"/>
      <c r="D180" s="379"/>
      <c r="E180" s="380" t="s">
        <v>386</v>
      </c>
      <c r="F180" s="380"/>
      <c r="G180" s="380"/>
      <c r="H180" s="380"/>
      <c r="I180" s="380"/>
      <c r="J180" s="380"/>
      <c r="K180" s="380"/>
      <c r="L180" s="224" t="s">
        <v>261</v>
      </c>
      <c r="M180" s="224"/>
      <c r="N180" s="381">
        <v>0</v>
      </c>
      <c r="O180" s="382"/>
      <c r="P180" s="382"/>
      <c r="Q180" s="383"/>
      <c r="R180" s="381">
        <v>0</v>
      </c>
      <c r="S180" s="382"/>
      <c r="T180" s="382"/>
      <c r="U180" s="383"/>
      <c r="V180" s="366"/>
      <c r="W180" s="370"/>
      <c r="X180" s="367"/>
      <c r="Y180" s="225"/>
      <c r="Z180" s="225"/>
      <c r="AA180" s="225"/>
      <c r="AB180" s="225"/>
      <c r="AC180" s="225"/>
      <c r="AD180" s="225"/>
    </row>
    <row r="181" spans="2:30" ht="13.5" customHeight="1">
      <c r="B181" s="379"/>
      <c r="C181" s="379"/>
      <c r="D181" s="379"/>
      <c r="E181" s="380"/>
      <c r="F181" s="380"/>
      <c r="G181" s="380"/>
      <c r="H181" s="380"/>
      <c r="I181" s="380"/>
      <c r="J181" s="380"/>
      <c r="K181" s="380"/>
      <c r="L181" s="224"/>
      <c r="M181" s="224"/>
      <c r="N181" s="384"/>
      <c r="O181" s="385"/>
      <c r="P181" s="385"/>
      <c r="Q181" s="386"/>
      <c r="R181" s="384"/>
      <c r="S181" s="385"/>
      <c r="T181" s="385"/>
      <c r="U181" s="386"/>
      <c r="V181" s="368"/>
      <c r="W181" s="371"/>
      <c r="X181" s="369"/>
      <c r="Y181" s="225"/>
      <c r="Z181" s="225"/>
      <c r="AA181" s="225"/>
      <c r="AB181" s="225"/>
      <c r="AC181" s="225"/>
      <c r="AD181" s="225"/>
    </row>
    <row r="182" spans="2:30" ht="13.5" customHeight="1">
      <c r="B182" s="424"/>
      <c r="C182" s="425"/>
      <c r="D182" s="426"/>
      <c r="E182" s="434"/>
      <c r="F182" s="435"/>
      <c r="G182" s="435"/>
      <c r="H182" s="435"/>
      <c r="I182" s="435"/>
      <c r="J182" s="435"/>
      <c r="K182" s="436"/>
      <c r="L182" s="224"/>
      <c r="M182" s="224"/>
      <c r="N182" s="381"/>
      <c r="O182" s="382"/>
      <c r="P182" s="382"/>
      <c r="Q182" s="383"/>
      <c r="R182" s="381"/>
      <c r="S182" s="382"/>
      <c r="T182" s="382"/>
      <c r="U182" s="383"/>
      <c r="V182" s="366"/>
      <c r="W182" s="370"/>
      <c r="X182" s="367"/>
      <c r="Y182" s="225"/>
      <c r="Z182" s="225"/>
      <c r="AA182" s="225"/>
      <c r="AB182" s="225"/>
      <c r="AC182" s="225"/>
      <c r="AD182" s="225"/>
    </row>
    <row r="183" spans="2:30" ht="13.5" customHeight="1">
      <c r="B183" s="427"/>
      <c r="C183" s="428"/>
      <c r="D183" s="429"/>
      <c r="E183" s="437"/>
      <c r="F183" s="438"/>
      <c r="G183" s="438"/>
      <c r="H183" s="438"/>
      <c r="I183" s="438"/>
      <c r="J183" s="438"/>
      <c r="K183" s="439"/>
      <c r="L183" s="224"/>
      <c r="M183" s="224"/>
      <c r="N183" s="384"/>
      <c r="O183" s="385"/>
      <c r="P183" s="385"/>
      <c r="Q183" s="386"/>
      <c r="R183" s="384"/>
      <c r="S183" s="385"/>
      <c r="T183" s="385"/>
      <c r="U183" s="386"/>
      <c r="V183" s="368"/>
      <c r="W183" s="371"/>
      <c r="X183" s="369"/>
      <c r="Y183" s="225"/>
      <c r="Z183" s="225"/>
      <c r="AA183" s="225"/>
      <c r="AB183" s="225"/>
      <c r="AC183" s="225"/>
      <c r="AD183" s="225"/>
    </row>
    <row r="184" spans="2:30" ht="13.5" customHeight="1">
      <c r="B184" s="546"/>
      <c r="C184" s="547"/>
      <c r="D184" s="548"/>
      <c r="E184" s="550"/>
      <c r="F184" s="550"/>
      <c r="G184" s="550"/>
      <c r="H184" s="550"/>
      <c r="I184" s="550"/>
      <c r="J184" s="550"/>
      <c r="K184" s="550"/>
      <c r="L184" s="224"/>
      <c r="M184" s="224"/>
      <c r="N184" s="381"/>
      <c r="O184" s="382"/>
      <c r="P184" s="382"/>
      <c r="Q184" s="383"/>
      <c r="R184" s="381"/>
      <c r="S184" s="382"/>
      <c r="T184" s="382"/>
      <c r="U184" s="383"/>
      <c r="V184" s="366"/>
      <c r="W184" s="370"/>
      <c r="X184" s="367"/>
      <c r="Y184" s="225"/>
      <c r="Z184" s="225"/>
      <c r="AA184" s="225"/>
      <c r="AB184" s="225"/>
      <c r="AC184" s="225"/>
      <c r="AD184" s="225"/>
    </row>
    <row r="185" spans="2:30" ht="13.5" customHeight="1">
      <c r="B185" s="549"/>
      <c r="C185" s="547"/>
      <c r="D185" s="548"/>
      <c r="E185" s="550"/>
      <c r="F185" s="550"/>
      <c r="G185" s="550"/>
      <c r="H185" s="550"/>
      <c r="I185" s="550"/>
      <c r="J185" s="550"/>
      <c r="K185" s="550"/>
      <c r="L185" s="224"/>
      <c r="M185" s="224"/>
      <c r="N185" s="384"/>
      <c r="O185" s="385"/>
      <c r="P185" s="385"/>
      <c r="Q185" s="386"/>
      <c r="R185" s="384"/>
      <c r="S185" s="385"/>
      <c r="T185" s="385"/>
      <c r="U185" s="386"/>
      <c r="V185" s="368"/>
      <c r="W185" s="371"/>
      <c r="X185" s="369"/>
      <c r="Y185" s="225"/>
      <c r="Z185" s="225"/>
      <c r="AA185" s="225"/>
      <c r="AB185" s="225"/>
      <c r="AC185" s="225"/>
      <c r="AD185" s="225"/>
    </row>
    <row r="186" spans="2:30" ht="13.5" customHeight="1">
      <c r="B186" s="432" t="s">
        <v>329</v>
      </c>
      <c r="C186" s="379"/>
      <c r="D186" s="379"/>
      <c r="E186" s="434" t="s">
        <v>328</v>
      </c>
      <c r="F186" s="435"/>
      <c r="G186" s="435"/>
      <c r="H186" s="435"/>
      <c r="I186" s="435"/>
      <c r="J186" s="435"/>
      <c r="K186" s="436"/>
      <c r="L186" s="224" t="s">
        <v>261</v>
      </c>
      <c r="M186" s="224"/>
      <c r="N186" s="381">
        <v>0</v>
      </c>
      <c r="O186" s="382"/>
      <c r="P186" s="382"/>
      <c r="Q186" s="383"/>
      <c r="R186" s="381">
        <v>0</v>
      </c>
      <c r="S186" s="382"/>
      <c r="T186" s="382"/>
      <c r="U186" s="383"/>
      <c r="V186" s="366"/>
      <c r="W186" s="370"/>
      <c r="X186" s="367"/>
      <c r="Y186" s="551"/>
      <c r="Z186" s="551"/>
      <c r="AA186" s="551"/>
      <c r="AB186" s="551"/>
      <c r="AC186" s="551"/>
      <c r="AD186" s="551"/>
    </row>
    <row r="187" spans="2:30" ht="13.5" customHeight="1">
      <c r="B187" s="379"/>
      <c r="C187" s="379"/>
      <c r="D187" s="379"/>
      <c r="E187" s="437"/>
      <c r="F187" s="438"/>
      <c r="G187" s="438"/>
      <c r="H187" s="438"/>
      <c r="I187" s="438"/>
      <c r="J187" s="438"/>
      <c r="K187" s="439"/>
      <c r="L187" s="224"/>
      <c r="M187" s="224"/>
      <c r="N187" s="384"/>
      <c r="O187" s="385"/>
      <c r="P187" s="385"/>
      <c r="Q187" s="386"/>
      <c r="R187" s="384"/>
      <c r="S187" s="385"/>
      <c r="T187" s="385"/>
      <c r="U187" s="386"/>
      <c r="V187" s="368"/>
      <c r="W187" s="371"/>
      <c r="X187" s="369"/>
      <c r="Y187" s="551"/>
      <c r="Z187" s="551"/>
      <c r="AA187" s="551"/>
      <c r="AB187" s="551"/>
      <c r="AC187" s="551"/>
      <c r="AD187" s="551"/>
    </row>
    <row r="188" spans="2:30" ht="13.5" customHeight="1">
      <c r="B188" s="446"/>
      <c r="C188" s="425"/>
      <c r="D188" s="426"/>
      <c r="E188" s="434"/>
      <c r="F188" s="435"/>
      <c r="G188" s="435"/>
      <c r="H188" s="435"/>
      <c r="I188" s="435"/>
      <c r="J188" s="435"/>
      <c r="K188" s="436"/>
      <c r="L188" s="224"/>
      <c r="M188" s="224"/>
      <c r="N188" s="381"/>
      <c r="O188" s="382"/>
      <c r="P188" s="382"/>
      <c r="Q188" s="383"/>
      <c r="R188" s="381"/>
      <c r="S188" s="382"/>
      <c r="T188" s="382"/>
      <c r="U188" s="383"/>
      <c r="V188" s="366"/>
      <c r="W188" s="370"/>
      <c r="X188" s="367"/>
      <c r="Y188" s="552"/>
      <c r="Z188" s="552"/>
      <c r="AA188" s="552"/>
      <c r="AB188" s="552"/>
      <c r="AC188" s="552"/>
      <c r="AD188" s="552"/>
    </row>
    <row r="189" spans="2:30" ht="13.5" customHeight="1">
      <c r="B189" s="427"/>
      <c r="C189" s="428"/>
      <c r="D189" s="429"/>
      <c r="E189" s="437"/>
      <c r="F189" s="438"/>
      <c r="G189" s="438"/>
      <c r="H189" s="438"/>
      <c r="I189" s="438"/>
      <c r="J189" s="438"/>
      <c r="K189" s="439"/>
      <c r="L189" s="224"/>
      <c r="M189" s="224"/>
      <c r="N189" s="384"/>
      <c r="O189" s="385"/>
      <c r="P189" s="385"/>
      <c r="Q189" s="386"/>
      <c r="R189" s="384"/>
      <c r="S189" s="385"/>
      <c r="T189" s="385"/>
      <c r="U189" s="386"/>
      <c r="V189" s="368"/>
      <c r="W189" s="371"/>
      <c r="X189" s="369"/>
      <c r="Y189" s="552"/>
      <c r="Z189" s="552"/>
      <c r="AA189" s="552"/>
      <c r="AB189" s="552"/>
      <c r="AC189" s="552"/>
      <c r="AD189" s="552"/>
    </row>
    <row r="190" spans="2:30" ht="13.5" customHeight="1">
      <c r="B190" s="424"/>
      <c r="C190" s="425"/>
      <c r="D190" s="426"/>
      <c r="E190" s="553"/>
      <c r="F190" s="554"/>
      <c r="G190" s="554"/>
      <c r="H190" s="554"/>
      <c r="I190" s="554"/>
      <c r="J190" s="554"/>
      <c r="K190" s="555"/>
      <c r="L190" s="224"/>
      <c r="M190" s="224"/>
      <c r="N190" s="381"/>
      <c r="O190" s="382"/>
      <c r="P190" s="382"/>
      <c r="Q190" s="383"/>
      <c r="R190" s="381"/>
      <c r="S190" s="382"/>
      <c r="T190" s="382"/>
      <c r="U190" s="383"/>
      <c r="V190" s="366"/>
      <c r="W190" s="370"/>
      <c r="X190" s="367"/>
      <c r="Y190" s="225"/>
      <c r="Z190" s="225"/>
      <c r="AA190" s="225"/>
      <c r="AB190" s="225"/>
      <c r="AC190" s="225"/>
      <c r="AD190" s="225"/>
    </row>
    <row r="191" spans="2:30" ht="13.5" customHeight="1">
      <c r="B191" s="427"/>
      <c r="C191" s="428"/>
      <c r="D191" s="429"/>
      <c r="E191" s="556"/>
      <c r="F191" s="557"/>
      <c r="G191" s="557"/>
      <c r="H191" s="557"/>
      <c r="I191" s="557"/>
      <c r="J191" s="557"/>
      <c r="K191" s="558"/>
      <c r="L191" s="224"/>
      <c r="M191" s="224"/>
      <c r="N191" s="384"/>
      <c r="O191" s="385"/>
      <c r="P191" s="385"/>
      <c r="Q191" s="386"/>
      <c r="R191" s="384"/>
      <c r="S191" s="385"/>
      <c r="T191" s="385"/>
      <c r="U191" s="386"/>
      <c r="V191" s="368"/>
      <c r="W191" s="371"/>
      <c r="X191" s="369"/>
      <c r="Y191" s="225"/>
      <c r="Z191" s="225"/>
      <c r="AA191" s="225"/>
      <c r="AB191" s="225"/>
      <c r="AC191" s="225"/>
      <c r="AD191" s="225"/>
    </row>
    <row r="192" spans="2:30" ht="13.5" customHeight="1">
      <c r="B192" s="424"/>
      <c r="C192" s="425"/>
      <c r="D192" s="426"/>
      <c r="E192" s="559"/>
      <c r="F192" s="560"/>
      <c r="G192" s="560"/>
      <c r="H192" s="560"/>
      <c r="I192" s="560"/>
      <c r="J192" s="560"/>
      <c r="K192" s="561"/>
      <c r="L192" s="245"/>
      <c r="M192" s="247"/>
      <c r="N192" s="381"/>
      <c r="O192" s="382"/>
      <c r="P192" s="382"/>
      <c r="Q192" s="383"/>
      <c r="R192" s="381"/>
      <c r="S192" s="382"/>
      <c r="T192" s="382"/>
      <c r="U192" s="383"/>
      <c r="V192" s="366"/>
      <c r="W192" s="370"/>
      <c r="X192" s="367"/>
      <c r="Y192" s="225"/>
      <c r="Z192" s="225"/>
      <c r="AA192" s="225"/>
      <c r="AB192" s="225"/>
      <c r="AC192" s="225"/>
      <c r="AD192" s="225"/>
    </row>
    <row r="193" spans="2:30" ht="13.5" customHeight="1">
      <c r="B193" s="427"/>
      <c r="C193" s="428"/>
      <c r="D193" s="429"/>
      <c r="E193" s="559"/>
      <c r="F193" s="560"/>
      <c r="G193" s="560"/>
      <c r="H193" s="560"/>
      <c r="I193" s="560"/>
      <c r="J193" s="560"/>
      <c r="K193" s="561"/>
      <c r="L193" s="248"/>
      <c r="M193" s="250"/>
      <c r="N193" s="384"/>
      <c r="O193" s="385"/>
      <c r="P193" s="385"/>
      <c r="Q193" s="386"/>
      <c r="R193" s="384"/>
      <c r="S193" s="385"/>
      <c r="T193" s="385"/>
      <c r="U193" s="386"/>
      <c r="V193" s="368"/>
      <c r="W193" s="371"/>
      <c r="X193" s="369"/>
      <c r="Y193" s="225"/>
      <c r="Z193" s="225"/>
      <c r="AA193" s="225"/>
      <c r="AB193" s="225"/>
      <c r="AC193" s="225"/>
      <c r="AD193" s="225"/>
    </row>
    <row r="194" spans="2:30" ht="13.5" customHeight="1">
      <c r="B194" s="424"/>
      <c r="C194" s="425"/>
      <c r="D194" s="426"/>
      <c r="E194" s="559" t="s">
        <v>327</v>
      </c>
      <c r="F194" s="560"/>
      <c r="G194" s="560"/>
      <c r="H194" s="560"/>
      <c r="I194" s="560"/>
      <c r="J194" s="560"/>
      <c r="K194" s="561"/>
      <c r="L194" s="245"/>
      <c r="M194" s="247"/>
      <c r="N194" s="381"/>
      <c r="O194" s="382"/>
      <c r="P194" s="382"/>
      <c r="Q194" s="383"/>
      <c r="R194" s="381"/>
      <c r="S194" s="382"/>
      <c r="T194" s="382"/>
      <c r="U194" s="383"/>
      <c r="V194" s="366"/>
      <c r="W194" s="370"/>
      <c r="X194" s="367"/>
      <c r="Y194" s="562"/>
      <c r="Z194" s="562"/>
      <c r="AA194" s="562"/>
      <c r="AB194" s="562"/>
      <c r="AC194" s="562"/>
      <c r="AD194" s="562"/>
    </row>
    <row r="195" spans="2:30" ht="13.5" customHeight="1">
      <c r="B195" s="427"/>
      <c r="C195" s="428"/>
      <c r="D195" s="429"/>
      <c r="E195" s="559"/>
      <c r="F195" s="560"/>
      <c r="G195" s="560"/>
      <c r="H195" s="560"/>
      <c r="I195" s="560"/>
      <c r="J195" s="560"/>
      <c r="K195" s="561"/>
      <c r="L195" s="248"/>
      <c r="M195" s="250"/>
      <c r="N195" s="384"/>
      <c r="O195" s="385"/>
      <c r="P195" s="385"/>
      <c r="Q195" s="386"/>
      <c r="R195" s="384"/>
      <c r="S195" s="385"/>
      <c r="T195" s="385"/>
      <c r="U195" s="386"/>
      <c r="V195" s="368"/>
      <c r="W195" s="371"/>
      <c r="X195" s="369"/>
      <c r="Y195" s="562"/>
      <c r="Z195" s="562"/>
      <c r="AA195" s="562"/>
      <c r="AB195" s="562"/>
      <c r="AC195" s="562"/>
      <c r="AD195" s="562"/>
    </row>
    <row r="196" spans="2:30" ht="13.5" customHeight="1">
      <c r="B196" s="424" t="s">
        <v>326</v>
      </c>
      <c r="C196" s="425"/>
      <c r="D196" s="426"/>
      <c r="E196" s="434" t="s">
        <v>325</v>
      </c>
      <c r="F196" s="435"/>
      <c r="G196" s="435"/>
      <c r="H196" s="435"/>
      <c r="I196" s="435"/>
      <c r="J196" s="435"/>
      <c r="K196" s="436"/>
      <c r="L196" s="245" t="s">
        <v>308</v>
      </c>
      <c r="M196" s="247"/>
      <c r="N196" s="381">
        <v>0</v>
      </c>
      <c r="O196" s="382"/>
      <c r="P196" s="382"/>
      <c r="Q196" s="383"/>
      <c r="R196" s="381">
        <v>0</v>
      </c>
      <c r="S196" s="382"/>
      <c r="T196" s="382"/>
      <c r="U196" s="383"/>
      <c r="V196" s="366"/>
      <c r="W196" s="370"/>
      <c r="X196" s="367"/>
      <c r="Y196" s="562"/>
      <c r="Z196" s="562"/>
      <c r="AA196" s="562"/>
      <c r="AB196" s="562"/>
      <c r="AC196" s="562"/>
      <c r="AD196" s="562"/>
    </row>
    <row r="197" spans="2:30" ht="13.5" customHeight="1">
      <c r="B197" s="427"/>
      <c r="C197" s="428"/>
      <c r="D197" s="429"/>
      <c r="E197" s="437"/>
      <c r="F197" s="438"/>
      <c r="G197" s="438"/>
      <c r="H197" s="438"/>
      <c r="I197" s="438"/>
      <c r="J197" s="438"/>
      <c r="K197" s="439"/>
      <c r="L197" s="248"/>
      <c r="M197" s="250"/>
      <c r="N197" s="384"/>
      <c r="O197" s="385"/>
      <c r="P197" s="385"/>
      <c r="Q197" s="386"/>
      <c r="R197" s="384"/>
      <c r="S197" s="385"/>
      <c r="T197" s="385"/>
      <c r="U197" s="386"/>
      <c r="V197" s="368"/>
      <c r="W197" s="371"/>
      <c r="X197" s="369"/>
      <c r="Y197" s="562"/>
      <c r="Z197" s="562"/>
      <c r="AA197" s="562"/>
      <c r="AB197" s="562"/>
      <c r="AC197" s="562"/>
      <c r="AD197" s="562"/>
    </row>
    <row r="198" spans="2:30" ht="13.5" customHeight="1">
      <c r="B198" s="424" t="s">
        <v>324</v>
      </c>
      <c r="C198" s="425"/>
      <c r="D198" s="426"/>
      <c r="E198" s="434" t="s">
        <v>323</v>
      </c>
      <c r="F198" s="435"/>
      <c r="G198" s="435"/>
      <c r="H198" s="435"/>
      <c r="I198" s="435"/>
      <c r="J198" s="435"/>
      <c r="K198" s="436"/>
      <c r="L198" s="245" t="s">
        <v>308</v>
      </c>
      <c r="M198" s="247"/>
      <c r="N198" s="381">
        <v>0</v>
      </c>
      <c r="O198" s="382"/>
      <c r="P198" s="382"/>
      <c r="Q198" s="383"/>
      <c r="R198" s="381">
        <v>0</v>
      </c>
      <c r="S198" s="382"/>
      <c r="T198" s="382"/>
      <c r="U198" s="383"/>
      <c r="V198" s="366"/>
      <c r="W198" s="370"/>
      <c r="X198" s="367"/>
      <c r="Y198" s="503"/>
      <c r="Z198" s="503"/>
      <c r="AA198" s="503"/>
      <c r="AB198" s="503"/>
      <c r="AC198" s="503"/>
      <c r="AD198" s="503"/>
    </row>
    <row r="199" spans="2:30" ht="13.5" customHeight="1">
      <c r="B199" s="427"/>
      <c r="C199" s="428"/>
      <c r="D199" s="429"/>
      <c r="E199" s="437"/>
      <c r="F199" s="438"/>
      <c r="G199" s="438"/>
      <c r="H199" s="438"/>
      <c r="I199" s="438"/>
      <c r="J199" s="438"/>
      <c r="K199" s="439"/>
      <c r="L199" s="248"/>
      <c r="M199" s="250"/>
      <c r="N199" s="384"/>
      <c r="O199" s="385"/>
      <c r="P199" s="385"/>
      <c r="Q199" s="386"/>
      <c r="R199" s="384"/>
      <c r="S199" s="385"/>
      <c r="T199" s="385"/>
      <c r="U199" s="386"/>
      <c r="V199" s="368"/>
      <c r="W199" s="371"/>
      <c r="X199" s="369"/>
      <c r="Y199" s="503"/>
      <c r="Z199" s="503"/>
      <c r="AA199" s="503"/>
      <c r="AB199" s="503"/>
      <c r="AC199" s="503"/>
      <c r="AD199" s="503"/>
    </row>
    <row r="200" spans="2:30" ht="13.5" customHeight="1">
      <c r="B200" s="424" t="s">
        <v>322</v>
      </c>
      <c r="C200" s="425"/>
      <c r="D200" s="426"/>
      <c r="E200" s="434" t="s">
        <v>321</v>
      </c>
      <c r="F200" s="435"/>
      <c r="G200" s="435"/>
      <c r="H200" s="435"/>
      <c r="I200" s="435"/>
      <c r="J200" s="435"/>
      <c r="K200" s="436"/>
      <c r="L200" s="245" t="s">
        <v>308</v>
      </c>
      <c r="M200" s="247"/>
      <c r="N200" s="381">
        <v>0</v>
      </c>
      <c r="O200" s="382"/>
      <c r="P200" s="382"/>
      <c r="Q200" s="383"/>
      <c r="R200" s="381">
        <v>0</v>
      </c>
      <c r="S200" s="382"/>
      <c r="T200" s="382"/>
      <c r="U200" s="383"/>
      <c r="V200" s="366"/>
      <c r="W200" s="370"/>
      <c r="X200" s="367"/>
      <c r="Y200" s="503"/>
      <c r="Z200" s="503"/>
      <c r="AA200" s="503"/>
      <c r="AB200" s="503"/>
      <c r="AC200" s="503"/>
      <c r="AD200" s="503"/>
    </row>
    <row r="201" spans="2:30" ht="13.5" customHeight="1">
      <c r="B201" s="427"/>
      <c r="C201" s="428"/>
      <c r="D201" s="429"/>
      <c r="E201" s="437"/>
      <c r="F201" s="438"/>
      <c r="G201" s="438"/>
      <c r="H201" s="438"/>
      <c r="I201" s="438"/>
      <c r="J201" s="438"/>
      <c r="K201" s="439"/>
      <c r="L201" s="248"/>
      <c r="M201" s="250"/>
      <c r="N201" s="384"/>
      <c r="O201" s="385"/>
      <c r="P201" s="385"/>
      <c r="Q201" s="386"/>
      <c r="R201" s="384"/>
      <c r="S201" s="385"/>
      <c r="T201" s="385"/>
      <c r="U201" s="386"/>
      <c r="V201" s="368"/>
      <c r="W201" s="371"/>
      <c r="X201" s="369"/>
      <c r="Y201" s="503"/>
      <c r="Z201" s="503"/>
      <c r="AA201" s="503"/>
      <c r="AB201" s="503"/>
      <c r="AC201" s="503"/>
      <c r="AD201" s="503"/>
    </row>
    <row r="202" spans="2:30" ht="13.5" customHeight="1">
      <c r="B202" s="424" t="s">
        <v>320</v>
      </c>
      <c r="C202" s="425"/>
      <c r="D202" s="426"/>
      <c r="E202" s="434" t="s">
        <v>319</v>
      </c>
      <c r="F202" s="435"/>
      <c r="G202" s="435"/>
      <c r="H202" s="435"/>
      <c r="I202" s="435"/>
      <c r="J202" s="435"/>
      <c r="K202" s="436"/>
      <c r="L202" s="245" t="s">
        <v>308</v>
      </c>
      <c r="M202" s="247"/>
      <c r="N202" s="381">
        <v>0</v>
      </c>
      <c r="O202" s="382"/>
      <c r="P202" s="382"/>
      <c r="Q202" s="383"/>
      <c r="R202" s="381">
        <v>0</v>
      </c>
      <c r="S202" s="382"/>
      <c r="T202" s="382"/>
      <c r="U202" s="383"/>
      <c r="V202" s="366"/>
      <c r="W202" s="370"/>
      <c r="X202" s="367"/>
      <c r="Y202" s="503"/>
      <c r="Z202" s="503"/>
      <c r="AA202" s="503"/>
      <c r="AB202" s="503"/>
      <c r="AC202" s="503"/>
      <c r="AD202" s="503"/>
    </row>
    <row r="203" spans="2:30" ht="13.5" customHeight="1">
      <c r="B203" s="427"/>
      <c r="C203" s="428"/>
      <c r="D203" s="429"/>
      <c r="E203" s="437"/>
      <c r="F203" s="438"/>
      <c r="G203" s="438"/>
      <c r="H203" s="438"/>
      <c r="I203" s="438"/>
      <c r="J203" s="438"/>
      <c r="K203" s="439"/>
      <c r="L203" s="248"/>
      <c r="M203" s="250"/>
      <c r="N203" s="384"/>
      <c r="O203" s="385"/>
      <c r="P203" s="385"/>
      <c r="Q203" s="386"/>
      <c r="R203" s="384"/>
      <c r="S203" s="385"/>
      <c r="T203" s="385"/>
      <c r="U203" s="386"/>
      <c r="V203" s="368"/>
      <c r="W203" s="371"/>
      <c r="X203" s="369"/>
      <c r="Y203" s="503"/>
      <c r="Z203" s="503"/>
      <c r="AA203" s="503"/>
      <c r="AB203" s="503"/>
      <c r="AC203" s="503"/>
      <c r="AD203" s="503"/>
    </row>
    <row r="204" spans="2:30" ht="13.5" customHeight="1">
      <c r="B204" s="424" t="s">
        <v>318</v>
      </c>
      <c r="C204" s="425"/>
      <c r="D204" s="426"/>
      <c r="E204" s="434" t="s">
        <v>317</v>
      </c>
      <c r="F204" s="435"/>
      <c r="G204" s="435"/>
      <c r="H204" s="435"/>
      <c r="I204" s="435"/>
      <c r="J204" s="435"/>
      <c r="K204" s="436"/>
      <c r="L204" s="245" t="s">
        <v>308</v>
      </c>
      <c r="M204" s="247"/>
      <c r="N204" s="381">
        <v>0</v>
      </c>
      <c r="O204" s="382"/>
      <c r="P204" s="382"/>
      <c r="Q204" s="383"/>
      <c r="R204" s="381">
        <v>0</v>
      </c>
      <c r="S204" s="382"/>
      <c r="T204" s="382"/>
      <c r="U204" s="383"/>
      <c r="V204" s="366"/>
      <c r="W204" s="370"/>
      <c r="X204" s="367"/>
      <c r="Y204" s="503"/>
      <c r="Z204" s="503"/>
      <c r="AA204" s="503"/>
      <c r="AB204" s="503"/>
      <c r="AC204" s="503"/>
      <c r="AD204" s="503"/>
    </row>
    <row r="205" spans="2:30" ht="13.5" customHeight="1">
      <c r="B205" s="427"/>
      <c r="C205" s="428"/>
      <c r="D205" s="429"/>
      <c r="E205" s="437"/>
      <c r="F205" s="438"/>
      <c r="G205" s="438"/>
      <c r="H205" s="438"/>
      <c r="I205" s="438"/>
      <c r="J205" s="438"/>
      <c r="K205" s="439"/>
      <c r="L205" s="248"/>
      <c r="M205" s="250"/>
      <c r="N205" s="384"/>
      <c r="O205" s="385"/>
      <c r="P205" s="385"/>
      <c r="Q205" s="386"/>
      <c r="R205" s="384"/>
      <c r="S205" s="385"/>
      <c r="T205" s="385"/>
      <c r="U205" s="386"/>
      <c r="V205" s="368"/>
      <c r="W205" s="371"/>
      <c r="X205" s="369"/>
      <c r="Y205" s="503"/>
      <c r="Z205" s="503"/>
      <c r="AA205" s="503"/>
      <c r="AB205" s="503"/>
      <c r="AC205" s="503"/>
      <c r="AD205" s="503"/>
    </row>
    <row r="206" spans="2:30" ht="13.5" customHeight="1">
      <c r="B206" s="424" t="s">
        <v>316</v>
      </c>
      <c r="C206" s="425"/>
      <c r="D206" s="426"/>
      <c r="E206" s="434" t="s">
        <v>315</v>
      </c>
      <c r="F206" s="435"/>
      <c r="G206" s="435"/>
      <c r="H206" s="435"/>
      <c r="I206" s="435"/>
      <c r="J206" s="435"/>
      <c r="K206" s="436"/>
      <c r="L206" s="245" t="s">
        <v>308</v>
      </c>
      <c r="M206" s="247"/>
      <c r="N206" s="381">
        <v>0</v>
      </c>
      <c r="O206" s="382"/>
      <c r="P206" s="382"/>
      <c r="Q206" s="383"/>
      <c r="R206" s="381">
        <v>0</v>
      </c>
      <c r="S206" s="382"/>
      <c r="T206" s="382"/>
      <c r="U206" s="383"/>
      <c r="V206" s="366"/>
      <c r="W206" s="370"/>
      <c r="X206" s="367"/>
      <c r="Y206" s="503"/>
      <c r="Z206" s="503"/>
      <c r="AA206" s="503"/>
      <c r="AB206" s="503"/>
      <c r="AC206" s="503"/>
      <c r="AD206" s="503"/>
    </row>
    <row r="207" spans="2:30" ht="13.5" customHeight="1">
      <c r="B207" s="427"/>
      <c r="C207" s="428"/>
      <c r="D207" s="429"/>
      <c r="E207" s="437"/>
      <c r="F207" s="438"/>
      <c r="G207" s="438"/>
      <c r="H207" s="438"/>
      <c r="I207" s="438"/>
      <c r="J207" s="438"/>
      <c r="K207" s="439"/>
      <c r="L207" s="248"/>
      <c r="M207" s="250"/>
      <c r="N207" s="384"/>
      <c r="O207" s="385"/>
      <c r="P207" s="385"/>
      <c r="Q207" s="386"/>
      <c r="R207" s="384"/>
      <c r="S207" s="385"/>
      <c r="T207" s="385"/>
      <c r="U207" s="386"/>
      <c r="V207" s="368"/>
      <c r="W207" s="371"/>
      <c r="X207" s="369"/>
      <c r="Y207" s="503"/>
      <c r="Z207" s="503"/>
      <c r="AA207" s="503"/>
      <c r="AB207" s="503"/>
      <c r="AC207" s="503"/>
      <c r="AD207" s="503"/>
    </row>
    <row r="208" spans="2:30" ht="13.5" customHeight="1">
      <c r="B208" s="424" t="s">
        <v>314</v>
      </c>
      <c r="C208" s="425"/>
      <c r="D208" s="426"/>
      <c r="E208" s="434" t="s">
        <v>313</v>
      </c>
      <c r="F208" s="435"/>
      <c r="G208" s="435"/>
      <c r="H208" s="435"/>
      <c r="I208" s="435"/>
      <c r="J208" s="435"/>
      <c r="K208" s="436"/>
      <c r="L208" s="245" t="s">
        <v>308</v>
      </c>
      <c r="M208" s="247"/>
      <c r="N208" s="381">
        <v>0</v>
      </c>
      <c r="O208" s="382"/>
      <c r="P208" s="382"/>
      <c r="Q208" s="383"/>
      <c r="R208" s="381">
        <v>0</v>
      </c>
      <c r="S208" s="382"/>
      <c r="T208" s="382"/>
      <c r="U208" s="383"/>
      <c r="V208" s="366"/>
      <c r="W208" s="370"/>
      <c r="X208" s="367"/>
      <c r="Y208" s="225"/>
      <c r="Z208" s="225"/>
      <c r="AA208" s="225"/>
      <c r="AB208" s="225"/>
      <c r="AC208" s="225"/>
      <c r="AD208" s="225"/>
    </row>
    <row r="209" spans="2:30" ht="13.5" customHeight="1">
      <c r="B209" s="427"/>
      <c r="C209" s="428"/>
      <c r="D209" s="429"/>
      <c r="E209" s="437"/>
      <c r="F209" s="438"/>
      <c r="G209" s="438"/>
      <c r="H209" s="438"/>
      <c r="I209" s="438"/>
      <c r="J209" s="438"/>
      <c r="K209" s="439"/>
      <c r="L209" s="248"/>
      <c r="M209" s="250"/>
      <c r="N209" s="384"/>
      <c r="O209" s="385"/>
      <c r="P209" s="385"/>
      <c r="Q209" s="386"/>
      <c r="R209" s="384"/>
      <c r="S209" s="385"/>
      <c r="T209" s="385"/>
      <c r="U209" s="386"/>
      <c r="V209" s="368"/>
      <c r="W209" s="371"/>
      <c r="X209" s="369"/>
      <c r="Y209" s="225"/>
      <c r="Z209" s="225"/>
      <c r="AA209" s="225"/>
      <c r="AB209" s="225"/>
      <c r="AC209" s="225"/>
      <c r="AD209" s="225"/>
    </row>
    <row r="210" spans="2:30" ht="13.5" customHeight="1">
      <c r="B210" s="424" t="s">
        <v>312</v>
      </c>
      <c r="C210" s="425"/>
      <c r="D210" s="426"/>
      <c r="E210" s="434" t="s">
        <v>311</v>
      </c>
      <c r="F210" s="435"/>
      <c r="G210" s="435"/>
      <c r="H210" s="435"/>
      <c r="I210" s="435"/>
      <c r="J210" s="435"/>
      <c r="K210" s="436"/>
      <c r="L210" s="245" t="s">
        <v>308</v>
      </c>
      <c r="M210" s="247"/>
      <c r="N210" s="381">
        <v>0</v>
      </c>
      <c r="O210" s="382"/>
      <c r="P210" s="382"/>
      <c r="Q210" s="383"/>
      <c r="R210" s="381">
        <v>0</v>
      </c>
      <c r="S210" s="382"/>
      <c r="T210" s="382"/>
      <c r="U210" s="383"/>
      <c r="V210" s="366"/>
      <c r="W210" s="370"/>
      <c r="X210" s="367"/>
      <c r="Y210" s="225"/>
      <c r="Z210" s="225"/>
      <c r="AA210" s="225"/>
      <c r="AB210" s="225"/>
      <c r="AC210" s="225"/>
      <c r="AD210" s="225"/>
    </row>
    <row r="211" spans="2:30" ht="13.5" customHeight="1">
      <c r="B211" s="427"/>
      <c r="C211" s="428"/>
      <c r="D211" s="429"/>
      <c r="E211" s="437"/>
      <c r="F211" s="438"/>
      <c r="G211" s="438"/>
      <c r="H211" s="438"/>
      <c r="I211" s="438"/>
      <c r="J211" s="438"/>
      <c r="K211" s="439"/>
      <c r="L211" s="248"/>
      <c r="M211" s="250"/>
      <c r="N211" s="384"/>
      <c r="O211" s="385"/>
      <c r="P211" s="385"/>
      <c r="Q211" s="386"/>
      <c r="R211" s="384"/>
      <c r="S211" s="385"/>
      <c r="T211" s="385"/>
      <c r="U211" s="386"/>
      <c r="V211" s="368"/>
      <c r="W211" s="371"/>
      <c r="X211" s="369"/>
      <c r="Y211" s="225"/>
      <c r="Z211" s="225"/>
      <c r="AA211" s="225"/>
      <c r="AB211" s="225"/>
      <c r="AC211" s="225"/>
      <c r="AD211" s="225"/>
    </row>
    <row r="212" spans="2:30" ht="13.5" customHeight="1">
      <c r="B212" s="424" t="s">
        <v>310</v>
      </c>
      <c r="C212" s="425"/>
      <c r="D212" s="426"/>
      <c r="E212" s="434" t="s">
        <v>309</v>
      </c>
      <c r="F212" s="435"/>
      <c r="G212" s="435"/>
      <c r="H212" s="435"/>
      <c r="I212" s="435"/>
      <c r="J212" s="435"/>
      <c r="K212" s="436"/>
      <c r="L212" s="245" t="s">
        <v>308</v>
      </c>
      <c r="M212" s="247"/>
      <c r="N212" s="381">
        <v>0</v>
      </c>
      <c r="O212" s="382"/>
      <c r="P212" s="382"/>
      <c r="Q212" s="383"/>
      <c r="R212" s="381">
        <v>0</v>
      </c>
      <c r="S212" s="382"/>
      <c r="T212" s="382"/>
      <c r="U212" s="383"/>
      <c r="V212" s="366"/>
      <c r="W212" s="370"/>
      <c r="X212" s="367"/>
      <c r="Y212" s="503"/>
      <c r="Z212" s="503"/>
      <c r="AA212" s="503"/>
      <c r="AB212" s="503"/>
      <c r="AC212" s="503"/>
      <c r="AD212" s="503"/>
    </row>
    <row r="213" spans="2:30" ht="13.5" customHeight="1">
      <c r="B213" s="427"/>
      <c r="C213" s="428"/>
      <c r="D213" s="429"/>
      <c r="E213" s="437"/>
      <c r="F213" s="438"/>
      <c r="G213" s="438"/>
      <c r="H213" s="438"/>
      <c r="I213" s="438"/>
      <c r="J213" s="438"/>
      <c r="K213" s="439"/>
      <c r="L213" s="248"/>
      <c r="M213" s="250"/>
      <c r="N213" s="384"/>
      <c r="O213" s="385"/>
      <c r="P213" s="385"/>
      <c r="Q213" s="386"/>
      <c r="R213" s="384"/>
      <c r="S213" s="385"/>
      <c r="T213" s="385"/>
      <c r="U213" s="386"/>
      <c r="V213" s="368"/>
      <c r="W213" s="371"/>
      <c r="X213" s="369"/>
      <c r="Y213" s="503"/>
      <c r="Z213" s="503"/>
      <c r="AA213" s="503"/>
      <c r="AB213" s="503"/>
      <c r="AC213" s="503"/>
      <c r="AD213" s="503"/>
    </row>
    <row r="214" spans="2:30" ht="13.5" customHeight="1">
      <c r="B214" s="424"/>
      <c r="C214" s="425"/>
      <c r="D214" s="426"/>
      <c r="E214" s="434"/>
      <c r="F214" s="435"/>
      <c r="G214" s="435"/>
      <c r="H214" s="435"/>
      <c r="I214" s="435"/>
      <c r="J214" s="435"/>
      <c r="K214" s="436"/>
      <c r="L214" s="224"/>
      <c r="M214" s="224"/>
      <c r="N214" s="381"/>
      <c r="O214" s="382"/>
      <c r="P214" s="382"/>
      <c r="Q214" s="383"/>
      <c r="R214" s="381"/>
      <c r="S214" s="382"/>
      <c r="T214" s="382"/>
      <c r="U214" s="383"/>
      <c r="V214" s="366"/>
      <c r="W214" s="370"/>
      <c r="X214" s="367"/>
      <c r="Y214" s="225"/>
      <c r="Z214" s="225"/>
      <c r="AA214" s="225"/>
      <c r="AB214" s="225"/>
      <c r="AC214" s="225"/>
      <c r="AD214" s="225"/>
    </row>
    <row r="215" spans="2:30" ht="13.5" customHeight="1">
      <c r="B215" s="427"/>
      <c r="C215" s="428"/>
      <c r="D215" s="429"/>
      <c r="E215" s="437"/>
      <c r="F215" s="438"/>
      <c r="G215" s="438"/>
      <c r="H215" s="438"/>
      <c r="I215" s="438"/>
      <c r="J215" s="438"/>
      <c r="K215" s="439"/>
      <c r="L215" s="224"/>
      <c r="M215" s="224"/>
      <c r="N215" s="384"/>
      <c r="O215" s="385"/>
      <c r="P215" s="385"/>
      <c r="Q215" s="386"/>
      <c r="R215" s="384"/>
      <c r="S215" s="385"/>
      <c r="T215" s="385"/>
      <c r="U215" s="386"/>
      <c r="V215" s="368"/>
      <c r="W215" s="371"/>
      <c r="X215" s="369"/>
      <c r="Y215" s="225"/>
      <c r="Z215" s="225"/>
      <c r="AA215" s="225"/>
      <c r="AB215" s="225"/>
      <c r="AC215" s="225"/>
      <c r="AD215" s="225"/>
    </row>
    <row r="216" spans="2:30" ht="13.5" customHeight="1">
      <c r="B216" s="424"/>
      <c r="C216" s="425"/>
      <c r="D216" s="426"/>
      <c r="E216" s="245"/>
      <c r="F216" s="246"/>
      <c r="G216" s="246"/>
      <c r="H216" s="246"/>
      <c r="I216" s="246"/>
      <c r="J216" s="246"/>
      <c r="K216" s="247"/>
      <c r="L216" s="224"/>
      <c r="M216" s="224"/>
      <c r="N216" s="381"/>
      <c r="O216" s="382"/>
      <c r="P216" s="382"/>
      <c r="Q216" s="383"/>
      <c r="R216" s="381"/>
      <c r="S216" s="382"/>
      <c r="T216" s="382"/>
      <c r="U216" s="383"/>
      <c r="V216" s="366"/>
      <c r="W216" s="370"/>
      <c r="X216" s="367"/>
      <c r="Y216" s="225"/>
      <c r="Z216" s="225"/>
      <c r="AA216" s="225"/>
      <c r="AB216" s="225"/>
      <c r="AC216" s="225"/>
      <c r="AD216" s="225"/>
    </row>
    <row r="217" spans="2:30" ht="13.5" customHeight="1">
      <c r="B217" s="427"/>
      <c r="C217" s="428"/>
      <c r="D217" s="429"/>
      <c r="E217" s="248"/>
      <c r="F217" s="249"/>
      <c r="G217" s="249"/>
      <c r="H217" s="249"/>
      <c r="I217" s="249"/>
      <c r="J217" s="249"/>
      <c r="K217" s="250"/>
      <c r="L217" s="224"/>
      <c r="M217" s="224"/>
      <c r="N217" s="384"/>
      <c r="O217" s="385"/>
      <c r="P217" s="385"/>
      <c r="Q217" s="386"/>
      <c r="R217" s="384"/>
      <c r="S217" s="385"/>
      <c r="T217" s="385"/>
      <c r="U217" s="386"/>
      <c r="V217" s="368"/>
      <c r="W217" s="371"/>
      <c r="X217" s="369"/>
      <c r="Y217" s="225"/>
      <c r="Z217" s="225"/>
      <c r="AA217" s="225"/>
      <c r="AB217" s="225"/>
      <c r="AC217" s="225"/>
      <c r="AD217" s="225"/>
    </row>
    <row r="218" spans="2:30">
      <c r="C218" s="22" t="str">
        <f>IF($C$72="","",$C$72)</f>
        <v>(様式-販売-１)Rev.2025.09.12</v>
      </c>
      <c r="Y218" s="458" t="str">
        <f>IF($Y$72="","",$Y$72)</f>
        <v>昭石化工株式会社</v>
      </c>
      <c r="Z218" s="458"/>
      <c r="AA218" s="458"/>
      <c r="AB218" s="458"/>
      <c r="AC218" s="458"/>
      <c r="AD218" s="458"/>
    </row>
    <row r="219" spans="2:30">
      <c r="B219" s="22" t="str">
        <f>IF($B$73="","",$B$73)</f>
        <v>販売現業所→カスタマーセンター→四日市工場</v>
      </c>
      <c r="Y219" s="459"/>
      <c r="Z219" s="459"/>
      <c r="AA219" s="459"/>
      <c r="AB219" s="459"/>
      <c r="AC219" s="459"/>
      <c r="AD219" s="459"/>
    </row>
    <row r="221" spans="2:30" ht="19.2">
      <c r="B221" s="708" t="str">
        <f>$B$2</f>
        <v>2026年</v>
      </c>
      <c r="C221" s="708"/>
      <c r="D221" s="708"/>
      <c r="E221" s="708"/>
      <c r="G221" s="460" t="str">
        <f>$G$2</f>
        <v/>
      </c>
      <c r="H221" s="460"/>
      <c r="I221" s="460"/>
      <c r="J221" s="23" t="s">
        <v>300</v>
      </c>
      <c r="K221" s="23"/>
      <c r="L221" s="23"/>
      <c r="M221" s="23"/>
      <c r="N221" s="24"/>
      <c r="O221" s="24"/>
      <c r="P221" s="24"/>
      <c r="Q221" s="24"/>
      <c r="R221" s="24"/>
      <c r="S221" s="24"/>
      <c r="T221" s="24"/>
      <c r="U221" s="24"/>
      <c r="V221" s="24"/>
      <c r="W221" s="24"/>
      <c r="X221" s="24"/>
      <c r="AC221" s="334" t="s">
        <v>307</v>
      </c>
      <c r="AD221" s="334"/>
    </row>
    <row r="223" spans="2:30" ht="13.2" customHeight="1">
      <c r="B223" s="408">
        <f>$B$4</f>
        <v>46133</v>
      </c>
      <c r="C223" s="409"/>
      <c r="D223" s="409"/>
      <c r="E223" s="409"/>
      <c r="F223" s="409"/>
      <c r="G223" s="409"/>
      <c r="H223" s="409"/>
      <c r="I223" s="409"/>
      <c r="J223" s="409"/>
      <c r="K223" s="409"/>
      <c r="L223" s="409"/>
      <c r="M223" s="409"/>
      <c r="N223" s="25"/>
      <c r="Q223" s="366" t="str">
        <f>$Q$4</f>
        <v>CC</v>
      </c>
      <c r="R223" s="367"/>
      <c r="S223" s="366" t="str">
        <f>$S$4</f>
        <v>CCｾﾝﾀｰ長</v>
      </c>
      <c r="T223" s="370"/>
      <c r="U223" s="367"/>
      <c r="V223" s="373" t="str">
        <f>$V$4</f>
        <v>承認者</v>
      </c>
      <c r="W223" s="374"/>
      <c r="X223" s="375"/>
      <c r="Y223" s="366" t="str">
        <f>$Y$4</f>
        <v>製造課</v>
      </c>
      <c r="Z223" s="370"/>
      <c r="AA223" s="367"/>
      <c r="AB223" s="366" t="str">
        <f>$AB$4</f>
        <v>業務課</v>
      </c>
      <c r="AC223" s="370"/>
      <c r="AD223" s="367"/>
    </row>
    <row r="224" spans="2:30" ht="13.2" customHeight="1">
      <c r="B224" s="410"/>
      <c r="C224" s="411"/>
      <c r="D224" s="411"/>
      <c r="E224" s="411"/>
      <c r="F224" s="411"/>
      <c r="G224" s="411"/>
      <c r="H224" s="411"/>
      <c r="I224" s="411"/>
      <c r="J224" s="411"/>
      <c r="K224" s="411"/>
      <c r="L224" s="411"/>
      <c r="M224" s="411"/>
      <c r="N224" s="26"/>
      <c r="Q224" s="368"/>
      <c r="R224" s="369"/>
      <c r="S224" s="368"/>
      <c r="T224" s="371"/>
      <c r="U224" s="369"/>
      <c r="V224" s="448" t="str">
        <f>$V$5</f>
        <v>（工場長）</v>
      </c>
      <c r="W224" s="449"/>
      <c r="X224" s="450"/>
      <c r="Y224" s="368"/>
      <c r="Z224" s="371"/>
      <c r="AA224" s="369"/>
      <c r="AB224" s="368"/>
      <c r="AC224" s="371"/>
      <c r="AD224" s="369"/>
    </row>
    <row r="225" spans="2:30" ht="13.2" customHeight="1">
      <c r="B225" s="195" t="str">
        <f>IF($B$6="","",$B$6)</f>
        <v>首都圏オフィス</v>
      </c>
      <c r="C225" s="196"/>
      <c r="D225" s="196"/>
      <c r="E225" s="196"/>
      <c r="F225" s="196"/>
      <c r="G225" s="196"/>
      <c r="H225" s="197"/>
      <c r="I225" s="518" t="str">
        <f>$I$6</f>
        <v>承認者</v>
      </c>
      <c r="J225" s="396" t="e" vm="1">
        <v>#VALUE!</v>
      </c>
      <c r="K225" s="396"/>
      <c r="L225" s="466" t="str">
        <f>$L$6</f>
        <v>担当者</v>
      </c>
      <c r="M225" s="30"/>
      <c r="N225" s="31"/>
      <c r="Q225" s="27"/>
      <c r="R225" s="28"/>
      <c r="S225" s="366" t="str">
        <f>IF($S$6="","",$S$6)</f>
        <v/>
      </c>
      <c r="T225" s="370"/>
      <c r="U225" s="367"/>
      <c r="V225" s="366" t="str">
        <f>IF($V$6="","",$V$6)</f>
        <v/>
      </c>
      <c r="W225" s="370"/>
      <c r="X225" s="367"/>
      <c r="Y225" s="366" t="str">
        <f>IF($Y$6="","",$Y$6)</f>
        <v/>
      </c>
      <c r="Z225" s="370"/>
      <c r="AA225" s="367"/>
      <c r="AB225" s="366" t="str">
        <f>IF($AB$6="","",$AB$6)</f>
        <v/>
      </c>
      <c r="AC225" s="370"/>
      <c r="AD225" s="367"/>
    </row>
    <row r="226" spans="2:30" ht="13.05" customHeight="1">
      <c r="B226" s="198"/>
      <c r="C226" s="199"/>
      <c r="D226" s="199"/>
      <c r="E226" s="199"/>
      <c r="F226" s="199"/>
      <c r="G226" s="199"/>
      <c r="H226" s="200"/>
      <c r="I226" s="519"/>
      <c r="J226" s="396"/>
      <c r="K226" s="396"/>
      <c r="L226" s="467"/>
      <c r="M226" s="32" t="str">
        <f>IF($M$7="","",$M$7)</f>
        <v/>
      </c>
      <c r="N226" s="33"/>
      <c r="Q226" s="366" t="str">
        <f>$Q$7</f>
        <v>四工</v>
      </c>
      <c r="R226" s="367"/>
      <c r="S226" s="397"/>
      <c r="T226" s="398"/>
      <c r="U226" s="399"/>
      <c r="V226" s="397"/>
      <c r="W226" s="398"/>
      <c r="X226" s="399"/>
      <c r="Y226" s="397"/>
      <c r="Z226" s="398"/>
      <c r="AA226" s="399"/>
      <c r="AB226" s="397"/>
      <c r="AC226" s="398"/>
      <c r="AD226" s="399"/>
    </row>
    <row r="227" spans="2:30" ht="13.05" customHeight="1">
      <c r="B227" s="201"/>
      <c r="C227" s="202"/>
      <c r="D227" s="202"/>
      <c r="E227" s="202"/>
      <c r="F227" s="202"/>
      <c r="G227" s="202"/>
      <c r="H227" s="203"/>
      <c r="I227" s="520"/>
      <c r="J227" s="396"/>
      <c r="K227" s="396"/>
      <c r="L227" s="468"/>
      <c r="M227" s="34"/>
      <c r="N227" s="35"/>
      <c r="Q227" s="368"/>
      <c r="R227" s="369"/>
      <c r="S227" s="368"/>
      <c r="T227" s="371"/>
      <c r="U227" s="369"/>
      <c r="V227" s="368"/>
      <c r="W227" s="371"/>
      <c r="X227" s="369"/>
      <c r="Y227" s="368"/>
      <c r="Z227" s="371"/>
      <c r="AA227" s="369"/>
      <c r="AB227" s="368"/>
      <c r="AC227" s="371"/>
      <c r="AD227" s="369"/>
    </row>
    <row r="228" spans="2:30">
      <c r="S228" s="11" t="s">
        <v>306</v>
      </c>
    </row>
    <row r="230" spans="2:30" ht="13.2" customHeight="1">
      <c r="B230" s="29"/>
      <c r="C230" s="10"/>
      <c r="D230" s="10"/>
      <c r="E230" s="10"/>
      <c r="F230" s="10"/>
      <c r="G230" s="10"/>
      <c r="H230" s="10"/>
      <c r="I230" s="10"/>
      <c r="J230" s="10"/>
      <c r="K230" s="10"/>
      <c r="L230" s="10"/>
      <c r="M230" s="10"/>
      <c r="N230" s="9"/>
      <c r="O230" s="9"/>
      <c r="P230" s="9"/>
      <c r="Q230" s="9"/>
      <c r="R230" s="9"/>
      <c r="S230" s="9"/>
      <c r="T230" s="9"/>
      <c r="U230" s="9"/>
      <c r="V230" s="9"/>
      <c r="W230" s="9"/>
      <c r="X230" s="9"/>
      <c r="Y230" s="9"/>
      <c r="Z230" s="9"/>
      <c r="AA230" s="9"/>
      <c r="AB230" s="9"/>
      <c r="AC230" s="9"/>
      <c r="AD230" s="8"/>
    </row>
    <row r="231" spans="2:30" ht="13.2" customHeight="1">
      <c r="B231" s="12" t="s">
        <v>586</v>
      </c>
      <c r="C231" s="7"/>
      <c r="D231" s="7"/>
      <c r="E231" s="7"/>
      <c r="F231" s="7"/>
      <c r="G231" s="7"/>
      <c r="H231" s="7"/>
      <c r="I231" s="7"/>
      <c r="J231" s="7"/>
      <c r="K231" s="7"/>
      <c r="L231" s="7"/>
      <c r="M231" s="7"/>
      <c r="N231" s="6"/>
      <c r="O231" s="6"/>
      <c r="P231" s="6"/>
      <c r="Q231" s="6"/>
      <c r="R231" s="6"/>
      <c r="S231" s="6"/>
      <c r="T231" s="6"/>
      <c r="U231" s="6"/>
      <c r="V231" s="6"/>
      <c r="W231" s="6"/>
      <c r="X231" s="6"/>
      <c r="Y231" s="6"/>
      <c r="Z231" s="6"/>
      <c r="AA231" s="6"/>
      <c r="AB231" s="6"/>
      <c r="AC231" s="6"/>
      <c r="AD231" s="5"/>
    </row>
    <row r="232" spans="2:30" ht="13.2" customHeight="1">
      <c r="B232" s="4"/>
      <c r="C232" s="3"/>
      <c r="D232" s="3"/>
      <c r="E232" s="3"/>
      <c r="F232" s="3"/>
      <c r="G232" s="3"/>
      <c r="H232" s="3"/>
      <c r="I232" s="3"/>
      <c r="J232" s="3"/>
      <c r="K232" s="3"/>
      <c r="L232" s="3"/>
      <c r="M232" s="3"/>
      <c r="N232" s="2"/>
      <c r="O232" s="2"/>
      <c r="P232" s="2"/>
      <c r="Q232" s="2"/>
      <c r="R232" s="2"/>
      <c r="S232" s="2"/>
      <c r="T232" s="2"/>
      <c r="U232" s="2"/>
      <c r="V232" s="2"/>
      <c r="W232" s="2"/>
      <c r="X232" s="2"/>
      <c r="Y232" s="2"/>
      <c r="Z232" s="2"/>
      <c r="AA232" s="2"/>
      <c r="AB232" s="2"/>
      <c r="AC232" s="2"/>
      <c r="AD232" s="1"/>
    </row>
    <row r="233" spans="2:30" ht="13.5" customHeight="1">
      <c r="B233" s="264" t="s">
        <v>298</v>
      </c>
      <c r="C233" s="265"/>
      <c r="D233" s="265"/>
      <c r="E233" s="265"/>
      <c r="F233" s="265"/>
      <c r="G233" s="265"/>
      <c r="H233" s="265"/>
      <c r="I233" s="265"/>
      <c r="J233" s="265"/>
      <c r="K233" s="266"/>
      <c r="L233" s="521" t="s">
        <v>297</v>
      </c>
      <c r="M233" s="522"/>
      <c r="N233" s="400" t="s">
        <v>296</v>
      </c>
      <c r="O233" s="401"/>
      <c r="P233" s="401"/>
      <c r="Q233" s="401"/>
      <c r="R233" s="401"/>
      <c r="S233" s="401"/>
      <c r="T233" s="401"/>
      <c r="U233" s="402"/>
      <c r="V233" s="373" t="s">
        <v>295</v>
      </c>
      <c r="W233" s="374"/>
      <c r="X233" s="375"/>
      <c r="Y233" s="509" t="s">
        <v>702</v>
      </c>
      <c r="Z233" s="510"/>
      <c r="AA233" s="510"/>
      <c r="AB233" s="510"/>
      <c r="AC233" s="510"/>
      <c r="AD233" s="511"/>
    </row>
    <row r="234" spans="2:30" ht="13.2" customHeight="1">
      <c r="B234" s="534"/>
      <c r="C234" s="535"/>
      <c r="D234" s="535"/>
      <c r="E234" s="535"/>
      <c r="F234" s="535"/>
      <c r="G234" s="535"/>
      <c r="H234" s="535"/>
      <c r="I234" s="535"/>
      <c r="J234" s="535"/>
      <c r="K234" s="536"/>
      <c r="L234" s="523"/>
      <c r="M234" s="524"/>
      <c r="N234" s="412"/>
      <c r="O234" s="413"/>
      <c r="P234" s="413"/>
      <c r="Q234" s="413"/>
      <c r="R234" s="413"/>
      <c r="S234" s="413"/>
      <c r="T234" s="413"/>
      <c r="U234" s="414"/>
      <c r="V234" s="527"/>
      <c r="W234" s="528"/>
      <c r="X234" s="529"/>
      <c r="Y234" s="512"/>
      <c r="Z234" s="513"/>
      <c r="AA234" s="513"/>
      <c r="AB234" s="513"/>
      <c r="AC234" s="513"/>
      <c r="AD234" s="514"/>
    </row>
    <row r="235" spans="2:30" ht="13.2" customHeight="1">
      <c r="B235" s="534"/>
      <c r="C235" s="535"/>
      <c r="D235" s="535"/>
      <c r="E235" s="535"/>
      <c r="F235" s="535"/>
      <c r="G235" s="535"/>
      <c r="H235" s="535"/>
      <c r="I235" s="535"/>
      <c r="J235" s="535"/>
      <c r="K235" s="536"/>
      <c r="L235" s="523"/>
      <c r="M235" s="524"/>
      <c r="N235" s="400" t="s">
        <v>294</v>
      </c>
      <c r="O235" s="401"/>
      <c r="P235" s="401"/>
      <c r="Q235" s="402"/>
      <c r="R235" s="400" t="s">
        <v>293</v>
      </c>
      <c r="S235" s="401"/>
      <c r="T235" s="401"/>
      <c r="U235" s="402"/>
      <c r="V235" s="527"/>
      <c r="W235" s="528"/>
      <c r="X235" s="529"/>
      <c r="Y235" s="512"/>
      <c r="Z235" s="513"/>
      <c r="AA235" s="513"/>
      <c r="AB235" s="513"/>
      <c r="AC235" s="513"/>
      <c r="AD235" s="514"/>
    </row>
    <row r="236" spans="2:30" ht="13.95" customHeight="1" thickBot="1">
      <c r="B236" s="537"/>
      <c r="C236" s="538"/>
      <c r="D236" s="538"/>
      <c r="E236" s="538"/>
      <c r="F236" s="538"/>
      <c r="G236" s="538"/>
      <c r="H236" s="538"/>
      <c r="I236" s="538"/>
      <c r="J236" s="538"/>
      <c r="K236" s="539"/>
      <c r="L236" s="525"/>
      <c r="M236" s="526"/>
      <c r="N236" s="403"/>
      <c r="O236" s="404"/>
      <c r="P236" s="404"/>
      <c r="Q236" s="405"/>
      <c r="R236" s="403"/>
      <c r="S236" s="404"/>
      <c r="T236" s="404"/>
      <c r="U236" s="405"/>
      <c r="V236" s="530"/>
      <c r="W236" s="531"/>
      <c r="X236" s="532"/>
      <c r="Y236" s="515"/>
      <c r="Z236" s="516"/>
      <c r="AA236" s="516"/>
      <c r="AB236" s="516"/>
      <c r="AC236" s="516"/>
      <c r="AD236" s="517"/>
    </row>
    <row r="237" spans="2:30" ht="14.25" customHeight="1" thickTop="1">
      <c r="B237" s="672"/>
      <c r="C237" s="673"/>
      <c r="D237" s="674"/>
      <c r="E237" s="678" t="s">
        <v>292</v>
      </c>
      <c r="F237" s="679"/>
      <c r="G237" s="679"/>
      <c r="H237" s="679"/>
      <c r="I237" s="679"/>
      <c r="J237" s="679"/>
      <c r="K237" s="680"/>
      <c r="L237" s="461"/>
      <c r="M237" s="461"/>
      <c r="N237" s="665"/>
      <c r="O237" s="665"/>
      <c r="P237" s="665"/>
      <c r="Q237" s="665"/>
      <c r="R237" s="665"/>
      <c r="S237" s="665"/>
      <c r="T237" s="665"/>
      <c r="U237" s="665"/>
      <c r="V237" s="533"/>
      <c r="W237" s="533"/>
      <c r="X237" s="533"/>
      <c r="Y237" s="461"/>
      <c r="Z237" s="461"/>
      <c r="AA237" s="461"/>
      <c r="AB237" s="461"/>
      <c r="AC237" s="461"/>
      <c r="AD237" s="461"/>
    </row>
    <row r="238" spans="2:30" ht="13.5" customHeight="1" thickBot="1">
      <c r="B238" s="675"/>
      <c r="C238" s="676"/>
      <c r="D238" s="677"/>
      <c r="E238" s="681"/>
      <c r="F238" s="682"/>
      <c r="G238" s="682"/>
      <c r="H238" s="682"/>
      <c r="I238" s="682"/>
      <c r="J238" s="682"/>
      <c r="K238" s="683"/>
      <c r="L238" s="579"/>
      <c r="M238" s="579"/>
      <c r="N238" s="597"/>
      <c r="O238" s="597"/>
      <c r="P238" s="597"/>
      <c r="Q238" s="597"/>
      <c r="R238" s="597"/>
      <c r="S238" s="597"/>
      <c r="T238" s="597"/>
      <c r="U238" s="597"/>
      <c r="V238" s="692"/>
      <c r="W238" s="692"/>
      <c r="X238" s="692"/>
      <c r="Y238" s="579"/>
      <c r="Z238" s="579"/>
      <c r="AA238" s="579"/>
      <c r="AB238" s="579"/>
      <c r="AC238" s="579"/>
      <c r="AD238" s="579"/>
    </row>
    <row r="239" spans="2:30" ht="13.5" customHeight="1" thickTop="1">
      <c r="B239" s="698" t="s">
        <v>682</v>
      </c>
      <c r="C239" s="699"/>
      <c r="D239" s="699"/>
      <c r="E239" s="700" t="s">
        <v>683</v>
      </c>
      <c r="F239" s="700"/>
      <c r="G239" s="700"/>
      <c r="H239" s="700"/>
      <c r="I239" s="700"/>
      <c r="J239" s="700"/>
      <c r="K239" s="700"/>
      <c r="L239" s="697" t="s">
        <v>279</v>
      </c>
      <c r="M239" s="697"/>
      <c r="N239" s="381">
        <v>0</v>
      </c>
      <c r="O239" s="382"/>
      <c r="P239" s="382"/>
      <c r="Q239" s="383"/>
      <c r="R239" s="381">
        <v>0</v>
      </c>
      <c r="S239" s="382"/>
      <c r="T239" s="382"/>
      <c r="U239" s="383"/>
      <c r="V239" s="366"/>
      <c r="W239" s="370"/>
      <c r="X239" s="367"/>
      <c r="Y239" s="695" t="s">
        <v>694</v>
      </c>
      <c r="Z239" s="695"/>
      <c r="AA239" s="695"/>
      <c r="AB239" s="695"/>
      <c r="AC239" s="695"/>
      <c r="AD239" s="695"/>
    </row>
    <row r="240" spans="2:30" ht="13.5" customHeight="1">
      <c r="B240" s="379"/>
      <c r="C240" s="379"/>
      <c r="D240" s="379"/>
      <c r="E240" s="380"/>
      <c r="F240" s="380"/>
      <c r="G240" s="380"/>
      <c r="H240" s="380"/>
      <c r="I240" s="380"/>
      <c r="J240" s="380"/>
      <c r="K240" s="380"/>
      <c r="L240" s="224"/>
      <c r="M240" s="224"/>
      <c r="N240" s="384"/>
      <c r="O240" s="385"/>
      <c r="P240" s="385"/>
      <c r="Q240" s="386"/>
      <c r="R240" s="384"/>
      <c r="S240" s="385"/>
      <c r="T240" s="385"/>
      <c r="U240" s="386"/>
      <c r="V240" s="368"/>
      <c r="W240" s="371"/>
      <c r="X240" s="369"/>
      <c r="Y240" s="696"/>
      <c r="Z240" s="696"/>
      <c r="AA240" s="696"/>
      <c r="AB240" s="696"/>
      <c r="AC240" s="696"/>
      <c r="AD240" s="696"/>
    </row>
    <row r="241" spans="2:30" ht="13.5" customHeight="1">
      <c r="B241" s="379" t="s">
        <v>291</v>
      </c>
      <c r="C241" s="379"/>
      <c r="D241" s="379"/>
      <c r="E241" s="380" t="s">
        <v>290</v>
      </c>
      <c r="F241" s="380"/>
      <c r="G241" s="380"/>
      <c r="H241" s="380"/>
      <c r="I241" s="380"/>
      <c r="J241" s="380"/>
      <c r="K241" s="380"/>
      <c r="L241" s="224" t="s">
        <v>279</v>
      </c>
      <c r="M241" s="224"/>
      <c r="N241" s="381">
        <v>0</v>
      </c>
      <c r="O241" s="382"/>
      <c r="P241" s="382"/>
      <c r="Q241" s="383"/>
      <c r="R241" s="381">
        <v>0</v>
      </c>
      <c r="S241" s="382"/>
      <c r="T241" s="382"/>
      <c r="U241" s="383"/>
      <c r="V241" s="366"/>
      <c r="W241" s="370"/>
      <c r="X241" s="367"/>
      <c r="Y241" s="695"/>
      <c r="Z241" s="695"/>
      <c r="AA241" s="695"/>
      <c r="AB241" s="695"/>
      <c r="AC241" s="695"/>
      <c r="AD241" s="695"/>
    </row>
    <row r="242" spans="2:30" ht="13.5" customHeight="1">
      <c r="B242" s="379"/>
      <c r="C242" s="379"/>
      <c r="D242" s="379"/>
      <c r="E242" s="380"/>
      <c r="F242" s="380"/>
      <c r="G242" s="380"/>
      <c r="H242" s="380"/>
      <c r="I242" s="380"/>
      <c r="J242" s="380"/>
      <c r="K242" s="380"/>
      <c r="L242" s="224"/>
      <c r="M242" s="224"/>
      <c r="N242" s="384"/>
      <c r="O242" s="385"/>
      <c r="P242" s="385"/>
      <c r="Q242" s="386"/>
      <c r="R242" s="384"/>
      <c r="S242" s="385"/>
      <c r="T242" s="385"/>
      <c r="U242" s="386"/>
      <c r="V242" s="368"/>
      <c r="W242" s="371"/>
      <c r="X242" s="369"/>
      <c r="Y242" s="696"/>
      <c r="Z242" s="696"/>
      <c r="AA242" s="696"/>
      <c r="AB242" s="696"/>
      <c r="AC242" s="696"/>
      <c r="AD242" s="696"/>
    </row>
    <row r="243" spans="2:30" ht="13.5" customHeight="1">
      <c r="B243" s="379" t="s">
        <v>685</v>
      </c>
      <c r="C243" s="379"/>
      <c r="D243" s="379"/>
      <c r="E243" s="380" t="s">
        <v>686</v>
      </c>
      <c r="F243" s="380"/>
      <c r="G243" s="380"/>
      <c r="H243" s="380"/>
      <c r="I243" s="380"/>
      <c r="J243" s="380"/>
      <c r="K243" s="380"/>
      <c r="L243" s="224" t="s">
        <v>279</v>
      </c>
      <c r="M243" s="224"/>
      <c r="N243" s="381">
        <v>0</v>
      </c>
      <c r="O243" s="382"/>
      <c r="P243" s="382"/>
      <c r="Q243" s="383"/>
      <c r="R243" s="381">
        <v>0</v>
      </c>
      <c r="S243" s="382"/>
      <c r="T243" s="382"/>
      <c r="U243" s="383"/>
      <c r="V243" s="366"/>
      <c r="W243" s="370"/>
      <c r="X243" s="367"/>
      <c r="Y243" s="695"/>
      <c r="Z243" s="695"/>
      <c r="AA243" s="695"/>
      <c r="AB243" s="695"/>
      <c r="AC243" s="695"/>
      <c r="AD243" s="695"/>
    </row>
    <row r="244" spans="2:30" ht="13.5" customHeight="1">
      <c r="B244" s="379"/>
      <c r="C244" s="379"/>
      <c r="D244" s="379"/>
      <c r="E244" s="380"/>
      <c r="F244" s="380"/>
      <c r="G244" s="380"/>
      <c r="H244" s="380"/>
      <c r="I244" s="380"/>
      <c r="J244" s="380"/>
      <c r="K244" s="380"/>
      <c r="L244" s="224"/>
      <c r="M244" s="224"/>
      <c r="N244" s="384"/>
      <c r="O244" s="385"/>
      <c r="P244" s="385"/>
      <c r="Q244" s="386"/>
      <c r="R244" s="384"/>
      <c r="S244" s="385"/>
      <c r="T244" s="385"/>
      <c r="U244" s="386"/>
      <c r="V244" s="368"/>
      <c r="W244" s="371"/>
      <c r="X244" s="369"/>
      <c r="Y244" s="696"/>
      <c r="Z244" s="696"/>
      <c r="AA244" s="696"/>
      <c r="AB244" s="696"/>
      <c r="AC244" s="696"/>
      <c r="AD244" s="696"/>
    </row>
    <row r="245" spans="2:30" ht="13.5" customHeight="1">
      <c r="B245" s="379" t="s">
        <v>289</v>
      </c>
      <c r="C245" s="379"/>
      <c r="D245" s="379"/>
      <c r="E245" s="380" t="s">
        <v>687</v>
      </c>
      <c r="F245" s="380"/>
      <c r="G245" s="380"/>
      <c r="H245" s="380"/>
      <c r="I245" s="380"/>
      <c r="J245" s="380"/>
      <c r="K245" s="380"/>
      <c r="L245" s="224" t="s">
        <v>279</v>
      </c>
      <c r="M245" s="224"/>
      <c r="N245" s="381">
        <v>0</v>
      </c>
      <c r="O245" s="382"/>
      <c r="P245" s="382"/>
      <c r="Q245" s="383"/>
      <c r="R245" s="381">
        <v>0</v>
      </c>
      <c r="S245" s="382"/>
      <c r="T245" s="382"/>
      <c r="U245" s="383"/>
      <c r="V245" s="366"/>
      <c r="W245" s="370"/>
      <c r="X245" s="367"/>
      <c r="Y245" s="695" t="s">
        <v>285</v>
      </c>
      <c r="Z245" s="695"/>
      <c r="AA245" s="695"/>
      <c r="AB245" s="695"/>
      <c r="AC245" s="695"/>
      <c r="AD245" s="695"/>
    </row>
    <row r="246" spans="2:30" ht="13.5" customHeight="1">
      <c r="B246" s="379"/>
      <c r="C246" s="379"/>
      <c r="D246" s="379"/>
      <c r="E246" s="380"/>
      <c r="F246" s="380"/>
      <c r="G246" s="380"/>
      <c r="H246" s="380"/>
      <c r="I246" s="380"/>
      <c r="J246" s="380"/>
      <c r="K246" s="380"/>
      <c r="L246" s="224"/>
      <c r="M246" s="224"/>
      <c r="N246" s="384"/>
      <c r="O246" s="385"/>
      <c r="P246" s="385"/>
      <c r="Q246" s="386"/>
      <c r="R246" s="384"/>
      <c r="S246" s="385"/>
      <c r="T246" s="385"/>
      <c r="U246" s="386"/>
      <c r="V246" s="368"/>
      <c r="W246" s="371"/>
      <c r="X246" s="369"/>
      <c r="Y246" s="696"/>
      <c r="Z246" s="696"/>
      <c r="AA246" s="696"/>
      <c r="AB246" s="696"/>
      <c r="AC246" s="696"/>
      <c r="AD246" s="696"/>
    </row>
    <row r="247" spans="2:30" ht="13.5" customHeight="1">
      <c r="B247" s="379" t="s">
        <v>288</v>
      </c>
      <c r="C247" s="379"/>
      <c r="D247" s="379"/>
      <c r="E247" s="380" t="s">
        <v>287</v>
      </c>
      <c r="F247" s="380"/>
      <c r="G247" s="380"/>
      <c r="H247" s="380"/>
      <c r="I247" s="380"/>
      <c r="J247" s="380"/>
      <c r="K247" s="380"/>
      <c r="L247" s="224" t="s">
        <v>279</v>
      </c>
      <c r="M247" s="224"/>
      <c r="N247" s="381">
        <v>0</v>
      </c>
      <c r="O247" s="382"/>
      <c r="P247" s="382"/>
      <c r="Q247" s="383"/>
      <c r="R247" s="381">
        <v>0</v>
      </c>
      <c r="S247" s="382"/>
      <c r="T247" s="382"/>
      <c r="U247" s="383"/>
      <c r="V247" s="366"/>
      <c r="W247" s="370"/>
      <c r="X247" s="367"/>
      <c r="Y247" s="245"/>
      <c r="Z247" s="246"/>
      <c r="AA247" s="246"/>
      <c r="AB247" s="246"/>
      <c r="AC247" s="246"/>
      <c r="AD247" s="247"/>
    </row>
    <row r="248" spans="2:30" ht="13.5" customHeight="1">
      <c r="B248" s="379"/>
      <c r="C248" s="379"/>
      <c r="D248" s="379"/>
      <c r="E248" s="380"/>
      <c r="F248" s="380"/>
      <c r="G248" s="380"/>
      <c r="H248" s="380"/>
      <c r="I248" s="380"/>
      <c r="J248" s="380"/>
      <c r="K248" s="380"/>
      <c r="L248" s="224"/>
      <c r="M248" s="224"/>
      <c r="N248" s="384"/>
      <c r="O248" s="385"/>
      <c r="P248" s="385"/>
      <c r="Q248" s="386"/>
      <c r="R248" s="384"/>
      <c r="S248" s="385"/>
      <c r="T248" s="385"/>
      <c r="U248" s="386"/>
      <c r="V248" s="368"/>
      <c r="W248" s="371"/>
      <c r="X248" s="369"/>
      <c r="Y248" s="248"/>
      <c r="Z248" s="249"/>
      <c r="AA248" s="249"/>
      <c r="AB248" s="249"/>
      <c r="AC248" s="249"/>
      <c r="AD248" s="250"/>
    </row>
    <row r="249" spans="2:30" ht="13.5" customHeight="1">
      <c r="B249" s="379" t="s">
        <v>286</v>
      </c>
      <c r="C249" s="379"/>
      <c r="D249" s="379"/>
      <c r="E249" s="380" t="s">
        <v>688</v>
      </c>
      <c r="F249" s="380"/>
      <c r="G249" s="380"/>
      <c r="H249" s="380"/>
      <c r="I249" s="380"/>
      <c r="J249" s="380"/>
      <c r="K249" s="380"/>
      <c r="L249" s="224" t="s">
        <v>279</v>
      </c>
      <c r="M249" s="224"/>
      <c r="N249" s="381">
        <v>0</v>
      </c>
      <c r="O249" s="382"/>
      <c r="P249" s="382"/>
      <c r="Q249" s="383"/>
      <c r="R249" s="381">
        <v>0</v>
      </c>
      <c r="S249" s="382"/>
      <c r="T249" s="382"/>
      <c r="U249" s="383"/>
      <c r="V249" s="366"/>
      <c r="W249" s="370"/>
      <c r="X249" s="367"/>
      <c r="Y249" s="684" t="s">
        <v>285</v>
      </c>
      <c r="Z249" s="685"/>
      <c r="AA249" s="685"/>
      <c r="AB249" s="685"/>
      <c r="AC249" s="685"/>
      <c r="AD249" s="686"/>
    </row>
    <row r="250" spans="2:30" ht="13.5" customHeight="1">
      <c r="B250" s="379"/>
      <c r="C250" s="379"/>
      <c r="D250" s="379"/>
      <c r="E250" s="380"/>
      <c r="F250" s="380"/>
      <c r="G250" s="380"/>
      <c r="H250" s="380"/>
      <c r="I250" s="380"/>
      <c r="J250" s="380"/>
      <c r="K250" s="380"/>
      <c r="L250" s="224"/>
      <c r="M250" s="224"/>
      <c r="N250" s="384"/>
      <c r="O250" s="385"/>
      <c r="P250" s="385"/>
      <c r="Q250" s="386"/>
      <c r="R250" s="384"/>
      <c r="S250" s="385"/>
      <c r="T250" s="385"/>
      <c r="U250" s="386"/>
      <c r="V250" s="368"/>
      <c r="W250" s="371"/>
      <c r="X250" s="369"/>
      <c r="Y250" s="687"/>
      <c r="Z250" s="688"/>
      <c r="AA250" s="688"/>
      <c r="AB250" s="688"/>
      <c r="AC250" s="688"/>
      <c r="AD250" s="689"/>
    </row>
    <row r="251" spans="2:30" ht="13.5" customHeight="1">
      <c r="B251" s="379" t="s">
        <v>284</v>
      </c>
      <c r="C251" s="379"/>
      <c r="D251" s="379"/>
      <c r="E251" s="690" t="s">
        <v>283</v>
      </c>
      <c r="F251" s="690"/>
      <c r="G251" s="690"/>
      <c r="H251" s="690"/>
      <c r="I251" s="690"/>
      <c r="J251" s="690"/>
      <c r="K251" s="690"/>
      <c r="L251" s="224" t="s">
        <v>279</v>
      </c>
      <c r="M251" s="224"/>
      <c r="N251" s="381">
        <v>0</v>
      </c>
      <c r="O251" s="382"/>
      <c r="P251" s="382"/>
      <c r="Q251" s="383"/>
      <c r="R251" s="381">
        <v>0</v>
      </c>
      <c r="S251" s="382"/>
      <c r="T251" s="382"/>
      <c r="U251" s="383"/>
      <c r="V251" s="366"/>
      <c r="W251" s="370"/>
      <c r="X251" s="367"/>
      <c r="Y251" s="245"/>
      <c r="Z251" s="246"/>
      <c r="AA251" s="246"/>
      <c r="AB251" s="246"/>
      <c r="AC251" s="246"/>
      <c r="AD251" s="247"/>
    </row>
    <row r="252" spans="2:30" ht="13.5" customHeight="1">
      <c r="B252" s="379"/>
      <c r="C252" s="379"/>
      <c r="D252" s="379"/>
      <c r="E252" s="690"/>
      <c r="F252" s="690"/>
      <c r="G252" s="690"/>
      <c r="H252" s="690"/>
      <c r="I252" s="690"/>
      <c r="J252" s="690"/>
      <c r="K252" s="690"/>
      <c r="L252" s="224"/>
      <c r="M252" s="224"/>
      <c r="N252" s="384"/>
      <c r="O252" s="385"/>
      <c r="P252" s="385"/>
      <c r="Q252" s="386"/>
      <c r="R252" s="384"/>
      <c r="S252" s="385"/>
      <c r="T252" s="385"/>
      <c r="U252" s="386"/>
      <c r="V252" s="368"/>
      <c r="W252" s="371"/>
      <c r="X252" s="369"/>
      <c r="Y252" s="248"/>
      <c r="Z252" s="249"/>
      <c r="AA252" s="249"/>
      <c r="AB252" s="249"/>
      <c r="AC252" s="249"/>
      <c r="AD252" s="250"/>
    </row>
    <row r="253" spans="2:30" ht="13.5" customHeight="1">
      <c r="B253" s="432" t="s">
        <v>691</v>
      </c>
      <c r="C253" s="379"/>
      <c r="D253" s="379"/>
      <c r="E253" s="690" t="s">
        <v>692</v>
      </c>
      <c r="F253" s="690"/>
      <c r="G253" s="690"/>
      <c r="H253" s="690"/>
      <c r="I253" s="690"/>
      <c r="J253" s="690"/>
      <c r="K253" s="690"/>
      <c r="L253" s="224" t="s">
        <v>279</v>
      </c>
      <c r="M253" s="224"/>
      <c r="N253" s="381">
        <v>0</v>
      </c>
      <c r="O253" s="382"/>
      <c r="P253" s="382"/>
      <c r="Q253" s="383"/>
      <c r="R253" s="381">
        <v>0</v>
      </c>
      <c r="S253" s="382"/>
      <c r="T253" s="382"/>
      <c r="U253" s="383"/>
      <c r="V253" s="366"/>
      <c r="W253" s="370"/>
      <c r="X253" s="367"/>
      <c r="Y253" s="245"/>
      <c r="Z253" s="246"/>
      <c r="AA253" s="246"/>
      <c r="AB253" s="246"/>
      <c r="AC253" s="246"/>
      <c r="AD253" s="247"/>
    </row>
    <row r="254" spans="2:30" ht="13.5" customHeight="1">
      <c r="B254" s="379"/>
      <c r="C254" s="379"/>
      <c r="D254" s="379"/>
      <c r="E254" s="690"/>
      <c r="F254" s="690"/>
      <c r="G254" s="690"/>
      <c r="H254" s="690"/>
      <c r="I254" s="690"/>
      <c r="J254" s="690"/>
      <c r="K254" s="690"/>
      <c r="L254" s="224"/>
      <c r="M254" s="224"/>
      <c r="N254" s="384"/>
      <c r="O254" s="385"/>
      <c r="P254" s="385"/>
      <c r="Q254" s="386"/>
      <c r="R254" s="384"/>
      <c r="S254" s="385"/>
      <c r="T254" s="385"/>
      <c r="U254" s="386"/>
      <c r="V254" s="368"/>
      <c r="W254" s="371"/>
      <c r="X254" s="369"/>
      <c r="Y254" s="248"/>
      <c r="Z254" s="249"/>
      <c r="AA254" s="249"/>
      <c r="AB254" s="249"/>
      <c r="AC254" s="249"/>
      <c r="AD254" s="250"/>
    </row>
    <row r="255" spans="2:30" ht="13.5" customHeight="1">
      <c r="B255" s="379" t="s">
        <v>282</v>
      </c>
      <c r="C255" s="379"/>
      <c r="D255" s="379"/>
      <c r="E255" s="380" t="s">
        <v>281</v>
      </c>
      <c r="F255" s="380"/>
      <c r="G255" s="380"/>
      <c r="H255" s="380"/>
      <c r="I255" s="380"/>
      <c r="J255" s="380"/>
      <c r="K255" s="380"/>
      <c r="L255" s="224" t="s">
        <v>279</v>
      </c>
      <c r="M255" s="224"/>
      <c r="N255" s="381"/>
      <c r="O255" s="382"/>
      <c r="P255" s="382"/>
      <c r="Q255" s="383"/>
      <c r="R255" s="381"/>
      <c r="S255" s="382"/>
      <c r="T255" s="382"/>
      <c r="U255" s="383"/>
      <c r="V255" s="366"/>
      <c r="W255" s="370"/>
      <c r="X255" s="367"/>
      <c r="Y255" s="697" t="s">
        <v>695</v>
      </c>
      <c r="Z255" s="697"/>
      <c r="AA255" s="697"/>
      <c r="AB255" s="697"/>
      <c r="AC255" s="697"/>
      <c r="AD255" s="697"/>
    </row>
    <row r="256" spans="2:30" ht="13.5" customHeight="1">
      <c r="B256" s="379"/>
      <c r="C256" s="379"/>
      <c r="D256" s="379"/>
      <c r="E256" s="380"/>
      <c r="F256" s="380"/>
      <c r="G256" s="380"/>
      <c r="H256" s="380"/>
      <c r="I256" s="380"/>
      <c r="J256" s="380"/>
      <c r="K256" s="380"/>
      <c r="L256" s="224"/>
      <c r="M256" s="224"/>
      <c r="N256" s="384"/>
      <c r="O256" s="385"/>
      <c r="P256" s="385"/>
      <c r="Q256" s="386"/>
      <c r="R256" s="384"/>
      <c r="S256" s="385"/>
      <c r="T256" s="385"/>
      <c r="U256" s="386"/>
      <c r="V256" s="368"/>
      <c r="W256" s="371"/>
      <c r="X256" s="369"/>
      <c r="Y256" s="224"/>
      <c r="Z256" s="224"/>
      <c r="AA256" s="224"/>
      <c r="AB256" s="224"/>
      <c r="AC256" s="224"/>
      <c r="AD256" s="224"/>
    </row>
    <row r="257" spans="2:30" ht="13.5" customHeight="1">
      <c r="B257" s="379" t="s">
        <v>693</v>
      </c>
      <c r="C257" s="379"/>
      <c r="D257" s="379"/>
      <c r="E257" s="380" t="s">
        <v>280</v>
      </c>
      <c r="F257" s="380"/>
      <c r="G257" s="380"/>
      <c r="H257" s="380"/>
      <c r="I257" s="380"/>
      <c r="J257" s="380"/>
      <c r="K257" s="380"/>
      <c r="L257" s="224" t="s">
        <v>279</v>
      </c>
      <c r="M257" s="224"/>
      <c r="N257" s="381"/>
      <c r="O257" s="382"/>
      <c r="P257" s="382"/>
      <c r="Q257" s="383"/>
      <c r="R257" s="381"/>
      <c r="S257" s="382"/>
      <c r="T257" s="382"/>
      <c r="U257" s="383"/>
      <c r="V257" s="366"/>
      <c r="W257" s="370"/>
      <c r="X257" s="367"/>
      <c r="Y257" s="224" t="s">
        <v>696</v>
      </c>
      <c r="Z257" s="224"/>
      <c r="AA257" s="224"/>
      <c r="AB257" s="224"/>
      <c r="AC257" s="224"/>
      <c r="AD257" s="224"/>
    </row>
    <row r="258" spans="2:30" ht="13.5" customHeight="1" thickBot="1">
      <c r="B258" s="693"/>
      <c r="C258" s="693"/>
      <c r="D258" s="693"/>
      <c r="E258" s="694"/>
      <c r="F258" s="694"/>
      <c r="G258" s="694"/>
      <c r="H258" s="694"/>
      <c r="I258" s="694"/>
      <c r="J258" s="694"/>
      <c r="K258" s="694"/>
      <c r="L258" s="579"/>
      <c r="M258" s="579"/>
      <c r="N258" s="666"/>
      <c r="O258" s="667"/>
      <c r="P258" s="667"/>
      <c r="Q258" s="668"/>
      <c r="R258" s="666"/>
      <c r="S258" s="667"/>
      <c r="T258" s="667"/>
      <c r="U258" s="668"/>
      <c r="V258" s="669"/>
      <c r="W258" s="670"/>
      <c r="X258" s="671"/>
      <c r="Y258" s="579"/>
      <c r="Z258" s="579"/>
      <c r="AA258" s="579"/>
      <c r="AB258" s="579"/>
      <c r="AC258" s="579"/>
      <c r="AD258" s="579"/>
    </row>
    <row r="259" spans="2:30" ht="13.5" customHeight="1" thickTop="1">
      <c r="B259" s="580" t="s">
        <v>278</v>
      </c>
      <c r="C259" s="581"/>
      <c r="D259" s="582"/>
      <c r="E259" s="586" t="s">
        <v>277</v>
      </c>
      <c r="F259" s="587"/>
      <c r="G259" s="587"/>
      <c r="H259" s="587"/>
      <c r="I259" s="587"/>
      <c r="J259" s="587"/>
      <c r="K259" s="588"/>
      <c r="L259" s="592"/>
      <c r="M259" s="592"/>
      <c r="N259" s="596"/>
      <c r="O259" s="596"/>
      <c r="P259" s="596"/>
      <c r="Q259" s="596"/>
      <c r="R259" s="596"/>
      <c r="S259" s="596"/>
      <c r="T259" s="596"/>
      <c r="U259" s="596"/>
      <c r="V259" s="691"/>
      <c r="W259" s="691"/>
      <c r="X259" s="691"/>
      <c r="Y259" s="592"/>
      <c r="Z259" s="592"/>
      <c r="AA259" s="592"/>
      <c r="AB259" s="592"/>
      <c r="AC259" s="592"/>
      <c r="AD259" s="592"/>
    </row>
    <row r="260" spans="2:30" ht="13.5" customHeight="1" thickBot="1">
      <c r="B260" s="583"/>
      <c r="C260" s="584"/>
      <c r="D260" s="585"/>
      <c r="E260" s="589"/>
      <c r="F260" s="590"/>
      <c r="G260" s="590"/>
      <c r="H260" s="590"/>
      <c r="I260" s="590"/>
      <c r="J260" s="590"/>
      <c r="K260" s="591"/>
      <c r="L260" s="593"/>
      <c r="M260" s="593"/>
      <c r="N260" s="597"/>
      <c r="O260" s="597"/>
      <c r="P260" s="597"/>
      <c r="Q260" s="597"/>
      <c r="R260" s="597"/>
      <c r="S260" s="597"/>
      <c r="T260" s="597"/>
      <c r="U260" s="597"/>
      <c r="V260" s="692"/>
      <c r="W260" s="692"/>
      <c r="X260" s="692"/>
      <c r="Y260" s="593"/>
      <c r="Z260" s="593"/>
      <c r="AA260" s="593"/>
      <c r="AB260" s="593"/>
      <c r="AC260" s="593"/>
      <c r="AD260" s="593"/>
    </row>
    <row r="261" spans="2:30" ht="13.5" customHeight="1" thickTop="1">
      <c r="B261" s="594" t="s">
        <v>276</v>
      </c>
      <c r="C261" s="594"/>
      <c r="D261" s="594"/>
      <c r="E261" s="595" t="s">
        <v>275</v>
      </c>
      <c r="F261" s="595"/>
      <c r="G261" s="595"/>
      <c r="H261" s="595"/>
      <c r="I261" s="595"/>
      <c r="J261" s="595"/>
      <c r="K261" s="595"/>
      <c r="L261" s="697" t="s">
        <v>261</v>
      </c>
      <c r="M261" s="697"/>
      <c r="N261" s="381"/>
      <c r="O261" s="382"/>
      <c r="P261" s="382"/>
      <c r="Q261" s="383"/>
      <c r="R261" s="381"/>
      <c r="S261" s="382"/>
      <c r="T261" s="382"/>
      <c r="U261" s="383"/>
      <c r="V261" s="366"/>
      <c r="W261" s="370"/>
      <c r="X261" s="367"/>
      <c r="Y261" s="697" t="s">
        <v>697</v>
      </c>
      <c r="Z261" s="697"/>
      <c r="AA261" s="697"/>
      <c r="AB261" s="697"/>
      <c r="AC261" s="697"/>
      <c r="AD261" s="697"/>
    </row>
    <row r="262" spans="2:30" ht="13.5" customHeight="1">
      <c r="B262" s="379"/>
      <c r="C262" s="379"/>
      <c r="D262" s="379"/>
      <c r="E262" s="380"/>
      <c r="F262" s="380"/>
      <c r="G262" s="380"/>
      <c r="H262" s="380"/>
      <c r="I262" s="380"/>
      <c r="J262" s="380"/>
      <c r="K262" s="380"/>
      <c r="L262" s="224"/>
      <c r="M262" s="224"/>
      <c r="N262" s="384"/>
      <c r="O262" s="385"/>
      <c r="P262" s="385"/>
      <c r="Q262" s="386"/>
      <c r="R262" s="384"/>
      <c r="S262" s="385"/>
      <c r="T262" s="385"/>
      <c r="U262" s="386"/>
      <c r="V262" s="368"/>
      <c r="W262" s="371"/>
      <c r="X262" s="369"/>
      <c r="Y262" s="224"/>
      <c r="Z262" s="224"/>
      <c r="AA262" s="224"/>
      <c r="AB262" s="224"/>
      <c r="AC262" s="224"/>
      <c r="AD262" s="224"/>
    </row>
    <row r="263" spans="2:30" ht="13.5" customHeight="1">
      <c r="B263" s="379" t="s">
        <v>274</v>
      </c>
      <c r="C263" s="379"/>
      <c r="D263" s="379"/>
      <c r="E263" s="380" t="s">
        <v>273</v>
      </c>
      <c r="F263" s="380"/>
      <c r="G263" s="380"/>
      <c r="H263" s="380"/>
      <c r="I263" s="380"/>
      <c r="J263" s="380"/>
      <c r="K263" s="380"/>
      <c r="L263" s="224" t="s">
        <v>261</v>
      </c>
      <c r="M263" s="224"/>
      <c r="N263" s="381"/>
      <c r="O263" s="382"/>
      <c r="P263" s="382"/>
      <c r="Q263" s="383"/>
      <c r="R263" s="381"/>
      <c r="S263" s="382"/>
      <c r="T263" s="382"/>
      <c r="U263" s="383"/>
      <c r="V263" s="366"/>
      <c r="W263" s="370"/>
      <c r="X263" s="367"/>
      <c r="Y263" s="224" t="s">
        <v>520</v>
      </c>
      <c r="Z263" s="224"/>
      <c r="AA263" s="224"/>
      <c r="AB263" s="224"/>
      <c r="AC263" s="224"/>
      <c r="AD263" s="224"/>
    </row>
    <row r="264" spans="2:30" ht="13.5" customHeight="1">
      <c r="B264" s="379"/>
      <c r="C264" s="379"/>
      <c r="D264" s="379"/>
      <c r="E264" s="380"/>
      <c r="F264" s="380"/>
      <c r="G264" s="380"/>
      <c r="H264" s="380"/>
      <c r="I264" s="380"/>
      <c r="J264" s="380"/>
      <c r="K264" s="380"/>
      <c r="L264" s="224"/>
      <c r="M264" s="224"/>
      <c r="N264" s="384"/>
      <c r="O264" s="385"/>
      <c r="P264" s="385"/>
      <c r="Q264" s="386"/>
      <c r="R264" s="384"/>
      <c r="S264" s="385"/>
      <c r="T264" s="385"/>
      <c r="U264" s="386"/>
      <c r="V264" s="368"/>
      <c r="W264" s="371"/>
      <c r="X264" s="369"/>
      <c r="Y264" s="224"/>
      <c r="Z264" s="224"/>
      <c r="AA264" s="224"/>
      <c r="AB264" s="224"/>
      <c r="AC264" s="224"/>
      <c r="AD264" s="224"/>
    </row>
    <row r="265" spans="2:30" ht="13.5" customHeight="1">
      <c r="B265" s="379" t="s">
        <v>272</v>
      </c>
      <c r="C265" s="379"/>
      <c r="D265" s="379"/>
      <c r="E265" s="380" t="s">
        <v>271</v>
      </c>
      <c r="F265" s="380"/>
      <c r="G265" s="380"/>
      <c r="H265" s="380"/>
      <c r="I265" s="380"/>
      <c r="J265" s="380"/>
      <c r="K265" s="380"/>
      <c r="L265" s="224" t="s">
        <v>261</v>
      </c>
      <c r="M265" s="224"/>
      <c r="N265" s="381">
        <v>0</v>
      </c>
      <c r="O265" s="382"/>
      <c r="P265" s="382"/>
      <c r="Q265" s="383"/>
      <c r="R265" s="381">
        <v>0</v>
      </c>
      <c r="S265" s="382"/>
      <c r="T265" s="382"/>
      <c r="U265" s="383"/>
      <c r="V265" s="366"/>
      <c r="W265" s="370"/>
      <c r="X265" s="367"/>
      <c r="Y265" s="407"/>
      <c r="Z265" s="407"/>
      <c r="AA265" s="407"/>
      <c r="AB265" s="407"/>
      <c r="AC265" s="407"/>
      <c r="AD265" s="407"/>
    </row>
    <row r="266" spans="2:30" ht="13.5" customHeight="1">
      <c r="B266" s="379"/>
      <c r="C266" s="379"/>
      <c r="D266" s="379"/>
      <c r="E266" s="380"/>
      <c r="F266" s="380"/>
      <c r="G266" s="380"/>
      <c r="H266" s="380"/>
      <c r="I266" s="380"/>
      <c r="J266" s="380"/>
      <c r="K266" s="380"/>
      <c r="L266" s="224"/>
      <c r="M266" s="224"/>
      <c r="N266" s="384"/>
      <c r="O266" s="385"/>
      <c r="P266" s="385"/>
      <c r="Q266" s="386"/>
      <c r="R266" s="384"/>
      <c r="S266" s="385"/>
      <c r="T266" s="385"/>
      <c r="U266" s="386"/>
      <c r="V266" s="368"/>
      <c r="W266" s="371"/>
      <c r="X266" s="369"/>
      <c r="Y266" s="407"/>
      <c r="Z266" s="407"/>
      <c r="AA266" s="407"/>
      <c r="AB266" s="407"/>
      <c r="AC266" s="407"/>
      <c r="AD266" s="407"/>
    </row>
    <row r="267" spans="2:30" ht="13.5" customHeight="1">
      <c r="B267" s="379" t="s">
        <v>270</v>
      </c>
      <c r="C267" s="379"/>
      <c r="D267" s="379"/>
      <c r="E267" s="380" t="s">
        <v>269</v>
      </c>
      <c r="F267" s="380"/>
      <c r="G267" s="380"/>
      <c r="H267" s="380"/>
      <c r="I267" s="380"/>
      <c r="J267" s="380"/>
      <c r="K267" s="380"/>
      <c r="L267" s="224" t="s">
        <v>261</v>
      </c>
      <c r="M267" s="224"/>
      <c r="N267" s="381"/>
      <c r="O267" s="382"/>
      <c r="P267" s="382"/>
      <c r="Q267" s="383"/>
      <c r="R267" s="381"/>
      <c r="S267" s="382"/>
      <c r="T267" s="382"/>
      <c r="U267" s="383"/>
      <c r="V267" s="366"/>
      <c r="W267" s="370"/>
      <c r="X267" s="367"/>
      <c r="Y267" s="701" t="s">
        <v>698</v>
      </c>
      <c r="Z267" s="701"/>
      <c r="AA267" s="701"/>
      <c r="AB267" s="701"/>
      <c r="AC267" s="701"/>
      <c r="AD267" s="701"/>
    </row>
    <row r="268" spans="2:30" ht="13.5" customHeight="1">
      <c r="B268" s="379"/>
      <c r="C268" s="379"/>
      <c r="D268" s="379"/>
      <c r="E268" s="380"/>
      <c r="F268" s="380"/>
      <c r="G268" s="380"/>
      <c r="H268" s="380"/>
      <c r="I268" s="380"/>
      <c r="J268" s="380"/>
      <c r="K268" s="380"/>
      <c r="L268" s="224"/>
      <c r="M268" s="224"/>
      <c r="N268" s="384"/>
      <c r="O268" s="385"/>
      <c r="P268" s="385"/>
      <c r="Q268" s="386"/>
      <c r="R268" s="384"/>
      <c r="S268" s="385"/>
      <c r="T268" s="385"/>
      <c r="U268" s="386"/>
      <c r="V268" s="368"/>
      <c r="W268" s="371"/>
      <c r="X268" s="369"/>
      <c r="Y268" s="701"/>
      <c r="Z268" s="701"/>
      <c r="AA268" s="701"/>
      <c r="AB268" s="701"/>
      <c r="AC268" s="701"/>
      <c r="AD268" s="701"/>
    </row>
    <row r="269" spans="2:30" ht="13.5" customHeight="1">
      <c r="B269" s="379" t="s">
        <v>268</v>
      </c>
      <c r="C269" s="379"/>
      <c r="D269" s="379"/>
      <c r="E269" s="380" t="s">
        <v>267</v>
      </c>
      <c r="F269" s="380"/>
      <c r="G269" s="380"/>
      <c r="H269" s="380"/>
      <c r="I269" s="380"/>
      <c r="J269" s="380"/>
      <c r="K269" s="380"/>
      <c r="L269" s="224" t="s">
        <v>261</v>
      </c>
      <c r="M269" s="224"/>
      <c r="N269" s="381"/>
      <c r="O269" s="382"/>
      <c r="P269" s="382"/>
      <c r="Q269" s="383"/>
      <c r="R269" s="381"/>
      <c r="S269" s="382"/>
      <c r="T269" s="382"/>
      <c r="U269" s="383"/>
      <c r="V269" s="366"/>
      <c r="W269" s="370"/>
      <c r="X269" s="367"/>
      <c r="Y269" s="224" t="s">
        <v>520</v>
      </c>
      <c r="Z269" s="224"/>
      <c r="AA269" s="224"/>
      <c r="AB269" s="224"/>
      <c r="AC269" s="224"/>
      <c r="AD269" s="224"/>
    </row>
    <row r="270" spans="2:30" ht="13.5" customHeight="1">
      <c r="B270" s="379"/>
      <c r="C270" s="379"/>
      <c r="D270" s="379"/>
      <c r="E270" s="380"/>
      <c r="F270" s="380"/>
      <c r="G270" s="380"/>
      <c r="H270" s="380"/>
      <c r="I270" s="380"/>
      <c r="J270" s="380"/>
      <c r="K270" s="380"/>
      <c r="L270" s="224"/>
      <c r="M270" s="224"/>
      <c r="N270" s="384"/>
      <c r="O270" s="385"/>
      <c r="P270" s="385"/>
      <c r="Q270" s="386"/>
      <c r="R270" s="384"/>
      <c r="S270" s="385"/>
      <c r="T270" s="385"/>
      <c r="U270" s="386"/>
      <c r="V270" s="368"/>
      <c r="W270" s="371"/>
      <c r="X270" s="369"/>
      <c r="Y270" s="224"/>
      <c r="Z270" s="224"/>
      <c r="AA270" s="224"/>
      <c r="AB270" s="224"/>
      <c r="AC270" s="224"/>
      <c r="AD270" s="224"/>
    </row>
    <row r="271" spans="2:30" ht="13.5" customHeight="1">
      <c r="B271" s="379" t="s">
        <v>266</v>
      </c>
      <c r="C271" s="379"/>
      <c r="D271" s="379"/>
      <c r="E271" s="380" t="s">
        <v>265</v>
      </c>
      <c r="F271" s="380"/>
      <c r="G271" s="380"/>
      <c r="H271" s="380"/>
      <c r="I271" s="380"/>
      <c r="J271" s="380"/>
      <c r="K271" s="380"/>
      <c r="L271" s="224" t="s">
        <v>261</v>
      </c>
      <c r="M271" s="224"/>
      <c r="N271" s="381"/>
      <c r="O271" s="382"/>
      <c r="P271" s="382"/>
      <c r="Q271" s="383"/>
      <c r="R271" s="381"/>
      <c r="S271" s="382"/>
      <c r="T271" s="382"/>
      <c r="U271" s="383"/>
      <c r="V271" s="366"/>
      <c r="W271" s="370"/>
      <c r="X271" s="367"/>
      <c r="Y271" s="224" t="s">
        <v>520</v>
      </c>
      <c r="Z271" s="224"/>
      <c r="AA271" s="224"/>
      <c r="AB271" s="224"/>
      <c r="AC271" s="224"/>
      <c r="AD271" s="224"/>
    </row>
    <row r="272" spans="2:30" ht="13.5" customHeight="1">
      <c r="B272" s="379"/>
      <c r="C272" s="379"/>
      <c r="D272" s="379"/>
      <c r="E272" s="380"/>
      <c r="F272" s="380"/>
      <c r="G272" s="380"/>
      <c r="H272" s="380"/>
      <c r="I272" s="380"/>
      <c r="J272" s="380"/>
      <c r="K272" s="380"/>
      <c r="L272" s="224"/>
      <c r="M272" s="224"/>
      <c r="N272" s="384"/>
      <c r="O272" s="385"/>
      <c r="P272" s="385"/>
      <c r="Q272" s="386"/>
      <c r="R272" s="384"/>
      <c r="S272" s="385"/>
      <c r="T272" s="385"/>
      <c r="U272" s="386"/>
      <c r="V272" s="368"/>
      <c r="W272" s="371"/>
      <c r="X272" s="369"/>
      <c r="Y272" s="224"/>
      <c r="Z272" s="224"/>
      <c r="AA272" s="224"/>
      <c r="AB272" s="224"/>
      <c r="AC272" s="224"/>
      <c r="AD272" s="224"/>
    </row>
    <row r="273" spans="2:30" ht="13.5" customHeight="1">
      <c r="B273" s="564"/>
      <c r="C273" s="564"/>
      <c r="D273" s="564"/>
      <c r="E273" s="299"/>
      <c r="F273" s="299"/>
      <c r="G273" s="299"/>
      <c r="H273" s="299"/>
      <c r="I273" s="299"/>
      <c r="J273" s="299"/>
      <c r="K273" s="299"/>
      <c r="L273" s="299"/>
      <c r="M273" s="299"/>
      <c r="N273" s="381"/>
      <c r="O273" s="382"/>
      <c r="P273" s="382"/>
      <c r="Q273" s="383"/>
      <c r="R273" s="381"/>
      <c r="S273" s="382"/>
      <c r="T273" s="382"/>
      <c r="U273" s="383"/>
      <c r="V273" s="366"/>
      <c r="W273" s="370"/>
      <c r="X273" s="367"/>
      <c r="Y273" s="563"/>
      <c r="Z273" s="563"/>
      <c r="AA273" s="563"/>
      <c r="AB273" s="563"/>
      <c r="AC273" s="563"/>
      <c r="AD273" s="563"/>
    </row>
    <row r="274" spans="2:30" ht="13.5" customHeight="1">
      <c r="B274" s="564"/>
      <c r="C274" s="564"/>
      <c r="D274" s="564"/>
      <c r="E274" s="299"/>
      <c r="F274" s="299"/>
      <c r="G274" s="299"/>
      <c r="H274" s="299"/>
      <c r="I274" s="299"/>
      <c r="J274" s="299"/>
      <c r="K274" s="299"/>
      <c r="L274" s="299"/>
      <c r="M274" s="299"/>
      <c r="N274" s="384"/>
      <c r="O274" s="385"/>
      <c r="P274" s="385"/>
      <c r="Q274" s="386"/>
      <c r="R274" s="384"/>
      <c r="S274" s="385"/>
      <c r="T274" s="385"/>
      <c r="U274" s="386"/>
      <c r="V274" s="368"/>
      <c r="W274" s="371"/>
      <c r="X274" s="369"/>
      <c r="Y274" s="563"/>
      <c r="Z274" s="563"/>
      <c r="AA274" s="563"/>
      <c r="AB274" s="563"/>
      <c r="AC274" s="563"/>
      <c r="AD274" s="563"/>
    </row>
    <row r="275" spans="2:30" ht="13.5" customHeight="1">
      <c r="B275" s="379"/>
      <c r="C275" s="379"/>
      <c r="D275" s="379"/>
      <c r="E275" s="224"/>
      <c r="F275" s="224"/>
      <c r="G275" s="224"/>
      <c r="H275" s="224"/>
      <c r="I275" s="224"/>
      <c r="J275" s="224"/>
      <c r="K275" s="224"/>
      <c r="L275" s="224"/>
      <c r="M275" s="224"/>
      <c r="N275" s="381"/>
      <c r="O275" s="382"/>
      <c r="P275" s="382"/>
      <c r="Q275" s="383"/>
      <c r="R275" s="381"/>
      <c r="S275" s="382"/>
      <c r="T275" s="382"/>
      <c r="U275" s="383"/>
      <c r="V275" s="366"/>
      <c r="W275" s="370"/>
      <c r="X275" s="367"/>
      <c r="Y275" s="224"/>
      <c r="Z275" s="224"/>
      <c r="AA275" s="224"/>
      <c r="AB275" s="224"/>
      <c r="AC275" s="224"/>
      <c r="AD275" s="224"/>
    </row>
    <row r="276" spans="2:30" ht="13.5" customHeight="1">
      <c r="B276" s="379"/>
      <c r="C276" s="379"/>
      <c r="D276" s="379"/>
      <c r="E276" s="224"/>
      <c r="F276" s="224"/>
      <c r="G276" s="224"/>
      <c r="H276" s="224"/>
      <c r="I276" s="224"/>
      <c r="J276" s="224"/>
      <c r="K276" s="224"/>
      <c r="L276" s="224"/>
      <c r="M276" s="224"/>
      <c r="N276" s="384"/>
      <c r="O276" s="385"/>
      <c r="P276" s="385"/>
      <c r="Q276" s="386"/>
      <c r="R276" s="384"/>
      <c r="S276" s="385"/>
      <c r="T276" s="385"/>
      <c r="U276" s="386"/>
      <c r="V276" s="368"/>
      <c r="W276" s="371"/>
      <c r="X276" s="369"/>
      <c r="Y276" s="224"/>
      <c r="Z276" s="224"/>
      <c r="AA276" s="224"/>
      <c r="AB276" s="224"/>
      <c r="AC276" s="224"/>
      <c r="AD276" s="224"/>
    </row>
    <row r="277" spans="2:30" ht="13.5" customHeight="1">
      <c r="B277" s="379" t="s">
        <v>264</v>
      </c>
      <c r="C277" s="379"/>
      <c r="D277" s="379"/>
      <c r="E277" s="380" t="s">
        <v>263</v>
      </c>
      <c r="F277" s="380"/>
      <c r="G277" s="380"/>
      <c r="H277" s="380"/>
      <c r="I277" s="380"/>
      <c r="J277" s="380"/>
      <c r="K277" s="380"/>
      <c r="L277" s="224"/>
      <c r="M277" s="224"/>
      <c r="N277" s="381"/>
      <c r="O277" s="382"/>
      <c r="P277" s="382"/>
      <c r="Q277" s="383"/>
      <c r="R277" s="381"/>
      <c r="S277" s="382"/>
      <c r="T277" s="382"/>
      <c r="U277" s="383"/>
      <c r="V277" s="366"/>
      <c r="W277" s="370"/>
      <c r="X277" s="367"/>
      <c r="Y277" s="224" t="s">
        <v>699</v>
      </c>
      <c r="Z277" s="224"/>
      <c r="AA277" s="224"/>
      <c r="AB277" s="224"/>
      <c r="AC277" s="224"/>
      <c r="AD277" s="224"/>
    </row>
    <row r="278" spans="2:30" ht="13.5" customHeight="1">
      <c r="B278" s="379"/>
      <c r="C278" s="379"/>
      <c r="D278" s="379"/>
      <c r="E278" s="380"/>
      <c r="F278" s="380"/>
      <c r="G278" s="380"/>
      <c r="H278" s="380"/>
      <c r="I278" s="380"/>
      <c r="J278" s="380"/>
      <c r="K278" s="380"/>
      <c r="L278" s="224"/>
      <c r="M278" s="224"/>
      <c r="N278" s="384"/>
      <c r="O278" s="385"/>
      <c r="P278" s="385"/>
      <c r="Q278" s="386"/>
      <c r="R278" s="384"/>
      <c r="S278" s="385"/>
      <c r="T278" s="385"/>
      <c r="U278" s="386"/>
      <c r="V278" s="368"/>
      <c r="W278" s="371"/>
      <c r="X278" s="369"/>
      <c r="Y278" s="224"/>
      <c r="Z278" s="224"/>
      <c r="AA278" s="224"/>
      <c r="AB278" s="224"/>
      <c r="AC278" s="224"/>
      <c r="AD278" s="224"/>
    </row>
    <row r="279" spans="2:30" ht="13.5" customHeight="1">
      <c r="B279" s="379"/>
      <c r="C279" s="379"/>
      <c r="D279" s="379"/>
      <c r="E279" s="434" t="s">
        <v>262</v>
      </c>
      <c r="F279" s="435"/>
      <c r="G279" s="435"/>
      <c r="H279" s="435"/>
      <c r="I279" s="435"/>
      <c r="J279" s="435"/>
      <c r="K279" s="436"/>
      <c r="L279" s="224"/>
      <c r="M279" s="224"/>
      <c r="N279" s="381"/>
      <c r="O279" s="382"/>
      <c r="P279" s="382"/>
      <c r="Q279" s="383"/>
      <c r="R279" s="381"/>
      <c r="S279" s="382"/>
      <c r="T279" s="382"/>
      <c r="U279" s="383"/>
      <c r="V279" s="366"/>
      <c r="W279" s="370"/>
      <c r="X279" s="367"/>
      <c r="Y279" s="224" t="s">
        <v>699</v>
      </c>
      <c r="Z279" s="224"/>
      <c r="AA279" s="224"/>
      <c r="AB279" s="224"/>
      <c r="AC279" s="224"/>
      <c r="AD279" s="224"/>
    </row>
    <row r="280" spans="2:30" ht="13.5" customHeight="1">
      <c r="B280" s="379"/>
      <c r="C280" s="379"/>
      <c r="D280" s="379"/>
      <c r="E280" s="437"/>
      <c r="F280" s="438"/>
      <c r="G280" s="438"/>
      <c r="H280" s="438"/>
      <c r="I280" s="438"/>
      <c r="J280" s="438"/>
      <c r="K280" s="439"/>
      <c r="L280" s="224"/>
      <c r="M280" s="224"/>
      <c r="N280" s="384"/>
      <c r="O280" s="385"/>
      <c r="P280" s="385"/>
      <c r="Q280" s="386"/>
      <c r="R280" s="384"/>
      <c r="S280" s="385"/>
      <c r="T280" s="385"/>
      <c r="U280" s="386"/>
      <c r="V280" s="368"/>
      <c r="W280" s="371"/>
      <c r="X280" s="369"/>
      <c r="Y280" s="224"/>
      <c r="Z280" s="224"/>
      <c r="AA280" s="224"/>
      <c r="AB280" s="224"/>
      <c r="AC280" s="224"/>
      <c r="AD280" s="224"/>
    </row>
    <row r="281" spans="2:30" ht="13.5" customHeight="1">
      <c r="B281" s="379"/>
      <c r="C281" s="379"/>
      <c r="D281" s="379"/>
      <c r="E281" s="224"/>
      <c r="F281" s="224"/>
      <c r="G281" s="224"/>
      <c r="H281" s="224"/>
      <c r="I281" s="224"/>
      <c r="J281" s="224"/>
      <c r="K281" s="224"/>
      <c r="L281" s="224"/>
      <c r="M281" s="224"/>
      <c r="N281" s="381"/>
      <c r="O281" s="382"/>
      <c r="P281" s="382"/>
      <c r="Q281" s="383"/>
      <c r="R281" s="381"/>
      <c r="S281" s="382"/>
      <c r="T281" s="382"/>
      <c r="U281" s="383"/>
      <c r="V281" s="366"/>
      <c r="W281" s="370"/>
      <c r="X281" s="367"/>
      <c r="Y281" s="224"/>
      <c r="Z281" s="224"/>
      <c r="AA281" s="224"/>
      <c r="AB281" s="224"/>
      <c r="AC281" s="224"/>
      <c r="AD281" s="224"/>
    </row>
    <row r="282" spans="2:30" ht="13.5" customHeight="1">
      <c r="B282" s="379"/>
      <c r="C282" s="379"/>
      <c r="D282" s="379"/>
      <c r="E282" s="224"/>
      <c r="F282" s="224"/>
      <c r="G282" s="224"/>
      <c r="H282" s="224"/>
      <c r="I282" s="224"/>
      <c r="J282" s="224"/>
      <c r="K282" s="224"/>
      <c r="L282" s="224"/>
      <c r="M282" s="224"/>
      <c r="N282" s="384"/>
      <c r="O282" s="385"/>
      <c r="P282" s="385"/>
      <c r="Q282" s="386"/>
      <c r="R282" s="384"/>
      <c r="S282" s="385"/>
      <c r="T282" s="385"/>
      <c r="U282" s="386"/>
      <c r="V282" s="368"/>
      <c r="W282" s="371"/>
      <c r="X282" s="369"/>
      <c r="Y282" s="224"/>
      <c r="Z282" s="224"/>
      <c r="AA282" s="224"/>
      <c r="AB282" s="224"/>
      <c r="AC282" s="224"/>
      <c r="AD282" s="224"/>
    </row>
    <row r="283" spans="2:30" ht="13.5" customHeight="1">
      <c r="B283" s="379"/>
      <c r="C283" s="379"/>
      <c r="D283" s="379"/>
      <c r="E283" s="224"/>
      <c r="F283" s="224"/>
      <c r="G283" s="224"/>
      <c r="H283" s="224"/>
      <c r="I283" s="224"/>
      <c r="J283" s="224"/>
      <c r="K283" s="224"/>
      <c r="L283" s="224"/>
      <c r="M283" s="224"/>
      <c r="N283" s="381"/>
      <c r="O283" s="382"/>
      <c r="P283" s="382"/>
      <c r="Q283" s="383"/>
      <c r="R283" s="381"/>
      <c r="S283" s="382"/>
      <c r="T283" s="382"/>
      <c r="U283" s="383"/>
      <c r="V283" s="366"/>
      <c r="W283" s="370"/>
      <c r="X283" s="367"/>
      <c r="Y283" s="224"/>
      <c r="Z283" s="224"/>
      <c r="AA283" s="224"/>
      <c r="AB283" s="224"/>
      <c r="AC283" s="224"/>
      <c r="AD283" s="224"/>
    </row>
    <row r="284" spans="2:30" ht="13.5" customHeight="1">
      <c r="B284" s="379"/>
      <c r="C284" s="379"/>
      <c r="D284" s="379"/>
      <c r="E284" s="224"/>
      <c r="F284" s="224"/>
      <c r="G284" s="224"/>
      <c r="H284" s="224"/>
      <c r="I284" s="224"/>
      <c r="J284" s="224"/>
      <c r="K284" s="224"/>
      <c r="L284" s="224"/>
      <c r="M284" s="224"/>
      <c r="N284" s="384"/>
      <c r="O284" s="385"/>
      <c r="P284" s="385"/>
      <c r="Q284" s="386"/>
      <c r="R284" s="384"/>
      <c r="S284" s="385"/>
      <c r="T284" s="385"/>
      <c r="U284" s="386"/>
      <c r="V284" s="368"/>
      <c r="W284" s="371"/>
      <c r="X284" s="369"/>
      <c r="Y284" s="224"/>
      <c r="Z284" s="224"/>
      <c r="AA284" s="224"/>
      <c r="AB284" s="224"/>
      <c r="AC284" s="224"/>
      <c r="AD284" s="224"/>
    </row>
    <row r="285" spans="2:30" ht="13.5" customHeight="1">
      <c r="B285" s="379" t="s">
        <v>260</v>
      </c>
      <c r="C285" s="379"/>
      <c r="D285" s="379"/>
      <c r="E285" s="380" t="s">
        <v>259</v>
      </c>
      <c r="F285" s="380"/>
      <c r="G285" s="380"/>
      <c r="H285" s="380"/>
      <c r="I285" s="380"/>
      <c r="J285" s="380"/>
      <c r="K285" s="380"/>
      <c r="L285" s="224"/>
      <c r="M285" s="224"/>
      <c r="N285" s="381"/>
      <c r="O285" s="382"/>
      <c r="P285" s="382"/>
      <c r="Q285" s="383"/>
      <c r="R285" s="381"/>
      <c r="S285" s="382"/>
      <c r="T285" s="382"/>
      <c r="U285" s="383"/>
      <c r="V285" s="366"/>
      <c r="W285" s="370"/>
      <c r="X285" s="367"/>
      <c r="Y285" s="224" t="s">
        <v>700</v>
      </c>
      <c r="Z285" s="224"/>
      <c r="AA285" s="224"/>
      <c r="AB285" s="224"/>
      <c r="AC285" s="224"/>
      <c r="AD285" s="224"/>
    </row>
    <row r="286" spans="2:30" ht="13.5" customHeight="1">
      <c r="B286" s="379"/>
      <c r="C286" s="379"/>
      <c r="D286" s="379"/>
      <c r="E286" s="380"/>
      <c r="F286" s="380"/>
      <c r="G286" s="380"/>
      <c r="H286" s="380"/>
      <c r="I286" s="380"/>
      <c r="J286" s="380"/>
      <c r="K286" s="380"/>
      <c r="L286" s="224"/>
      <c r="M286" s="224"/>
      <c r="N286" s="384"/>
      <c r="O286" s="385"/>
      <c r="P286" s="385"/>
      <c r="Q286" s="386"/>
      <c r="R286" s="384"/>
      <c r="S286" s="385"/>
      <c r="T286" s="385"/>
      <c r="U286" s="386"/>
      <c r="V286" s="368"/>
      <c r="W286" s="371"/>
      <c r="X286" s="369"/>
      <c r="Y286" s="224"/>
      <c r="Z286" s="224"/>
      <c r="AA286" s="224"/>
      <c r="AB286" s="224"/>
      <c r="AC286" s="224"/>
      <c r="AD286" s="224"/>
    </row>
    <row r="287" spans="2:30" ht="13.5" customHeight="1">
      <c r="B287" s="379"/>
      <c r="C287" s="379"/>
      <c r="D287" s="379"/>
      <c r="E287" s="224"/>
      <c r="F287" s="224"/>
      <c r="G287" s="224"/>
      <c r="H287" s="224"/>
      <c r="I287" s="224"/>
      <c r="J287" s="224"/>
      <c r="K287" s="224"/>
      <c r="L287" s="224"/>
      <c r="M287" s="224"/>
      <c r="N287" s="381"/>
      <c r="O287" s="382"/>
      <c r="P287" s="382"/>
      <c r="Q287" s="383"/>
      <c r="R287" s="381"/>
      <c r="S287" s="382"/>
      <c r="T287" s="382"/>
      <c r="U287" s="383"/>
      <c r="V287" s="366"/>
      <c r="W287" s="370"/>
      <c r="X287" s="367"/>
      <c r="Y287" s="224"/>
      <c r="Z287" s="224"/>
      <c r="AA287" s="224"/>
      <c r="AB287" s="224"/>
      <c r="AC287" s="224"/>
      <c r="AD287" s="224"/>
    </row>
    <row r="288" spans="2:30" ht="13.5" customHeight="1">
      <c r="B288" s="379"/>
      <c r="C288" s="379"/>
      <c r="D288" s="379"/>
      <c r="E288" s="224"/>
      <c r="F288" s="224"/>
      <c r="G288" s="224"/>
      <c r="H288" s="224"/>
      <c r="I288" s="224"/>
      <c r="J288" s="224"/>
      <c r="K288" s="224"/>
      <c r="L288" s="224"/>
      <c r="M288" s="224"/>
      <c r="N288" s="384"/>
      <c r="O288" s="385"/>
      <c r="P288" s="385"/>
      <c r="Q288" s="386"/>
      <c r="R288" s="384"/>
      <c r="S288" s="385"/>
      <c r="T288" s="385"/>
      <c r="U288" s="386"/>
      <c r="V288" s="368"/>
      <c r="W288" s="371"/>
      <c r="X288" s="369"/>
      <c r="Y288" s="224"/>
      <c r="Z288" s="224"/>
      <c r="AA288" s="224"/>
      <c r="AB288" s="224"/>
      <c r="AC288" s="224"/>
      <c r="AD288" s="224"/>
    </row>
    <row r="289" spans="2:30" ht="13.5" customHeight="1">
      <c r="B289" s="379"/>
      <c r="C289" s="379"/>
      <c r="D289" s="379"/>
      <c r="E289" s="224"/>
      <c r="F289" s="224"/>
      <c r="G289" s="224"/>
      <c r="H289" s="224"/>
      <c r="I289" s="224"/>
      <c r="J289" s="224"/>
      <c r="K289" s="224"/>
      <c r="L289" s="224"/>
      <c r="M289" s="224"/>
      <c r="N289" s="381"/>
      <c r="O289" s="382"/>
      <c r="P289" s="382"/>
      <c r="Q289" s="383"/>
      <c r="R289" s="381"/>
      <c r="S289" s="382"/>
      <c r="T289" s="382"/>
      <c r="U289" s="383"/>
      <c r="V289" s="366"/>
      <c r="W289" s="370"/>
      <c r="X289" s="367"/>
      <c r="Y289" s="224"/>
      <c r="Z289" s="224"/>
      <c r="AA289" s="224"/>
      <c r="AB289" s="224"/>
      <c r="AC289" s="224"/>
      <c r="AD289" s="224"/>
    </row>
    <row r="290" spans="2:30" ht="13.5" customHeight="1">
      <c r="B290" s="379"/>
      <c r="C290" s="379"/>
      <c r="D290" s="379"/>
      <c r="E290" s="224"/>
      <c r="F290" s="224"/>
      <c r="G290" s="224"/>
      <c r="H290" s="224"/>
      <c r="I290" s="224"/>
      <c r="J290" s="224"/>
      <c r="K290" s="224"/>
      <c r="L290" s="224"/>
      <c r="M290" s="224"/>
      <c r="N290" s="384"/>
      <c r="O290" s="385"/>
      <c r="P290" s="385"/>
      <c r="Q290" s="386"/>
      <c r="R290" s="384"/>
      <c r="S290" s="385"/>
      <c r="T290" s="385"/>
      <c r="U290" s="386"/>
      <c r="V290" s="368"/>
      <c r="W290" s="371"/>
      <c r="X290" s="369"/>
      <c r="Y290" s="224"/>
      <c r="Z290" s="224"/>
      <c r="AA290" s="224"/>
      <c r="AB290" s="224"/>
      <c r="AC290" s="224"/>
      <c r="AD290" s="224"/>
    </row>
    <row r="291" spans="2:30">
      <c r="C291" s="22" t="str">
        <f>IF($C$72="","",$C$72)</f>
        <v>(様式-販売-１)Rev.2025.09.12</v>
      </c>
      <c r="Y291" s="458" t="str">
        <f>IF($Y$72="","",$Y$72)</f>
        <v>昭石化工株式会社</v>
      </c>
      <c r="Z291" s="458"/>
      <c r="AA291" s="458"/>
      <c r="AB291" s="458"/>
      <c r="AC291" s="458"/>
      <c r="AD291" s="458"/>
    </row>
    <row r="292" spans="2:30">
      <c r="B292" s="22" t="str">
        <f>IF($B$73="","",$B$73)</f>
        <v>販売現業所→カスタマーセンター→四日市工場</v>
      </c>
      <c r="Y292" s="459"/>
      <c r="Z292" s="459"/>
      <c r="AA292" s="459"/>
      <c r="AB292" s="459"/>
      <c r="AC292" s="459"/>
      <c r="AD292" s="459"/>
    </row>
    <row r="294" spans="2:30" ht="19.2">
      <c r="B294" s="708" t="str">
        <f>$B$2</f>
        <v>2026年</v>
      </c>
      <c r="C294" s="708"/>
      <c r="D294" s="708"/>
      <c r="E294" s="708"/>
      <c r="G294" s="460" t="str">
        <f>$G$2</f>
        <v/>
      </c>
      <c r="H294" s="460"/>
      <c r="I294" s="460"/>
      <c r="J294" s="23" t="s">
        <v>300</v>
      </c>
      <c r="K294" s="23"/>
      <c r="L294" s="23"/>
      <c r="M294" s="23"/>
      <c r="N294" s="24"/>
      <c r="O294" s="24"/>
      <c r="P294" s="24"/>
      <c r="Q294" s="24"/>
      <c r="R294" s="24"/>
      <c r="S294" s="24"/>
      <c r="T294" s="24"/>
      <c r="U294" s="24"/>
      <c r="V294" s="24"/>
      <c r="W294" s="24"/>
      <c r="X294" s="24"/>
      <c r="AC294" s="334" t="s">
        <v>299</v>
      </c>
      <c r="AD294" s="334"/>
    </row>
    <row r="296" spans="2:30" ht="13.2" customHeight="1">
      <c r="B296" s="408">
        <f>$B$4</f>
        <v>46133</v>
      </c>
      <c r="C296" s="409"/>
      <c r="D296" s="409"/>
      <c r="E296" s="409"/>
      <c r="F296" s="409"/>
      <c r="G296" s="409"/>
      <c r="H296" s="409"/>
      <c r="I296" s="409"/>
      <c r="J296" s="409"/>
      <c r="K296" s="409"/>
      <c r="L296" s="409"/>
      <c r="M296" s="409"/>
      <c r="N296" s="25"/>
      <c r="Q296" s="366" t="str">
        <f>$Q$4</f>
        <v>CC</v>
      </c>
      <c r="R296" s="367"/>
      <c r="S296" s="366" t="str">
        <f>$S$4</f>
        <v>CCｾﾝﾀｰ長</v>
      </c>
      <c r="T296" s="370"/>
      <c r="U296" s="367"/>
      <c r="V296" s="373" t="str">
        <f>$V$4</f>
        <v>承認者</v>
      </c>
      <c r="W296" s="374"/>
      <c r="X296" s="375"/>
      <c r="Y296" s="366" t="str">
        <f>$Y$4</f>
        <v>製造課</v>
      </c>
      <c r="Z296" s="370"/>
      <c r="AA296" s="367"/>
      <c r="AB296" s="366" t="str">
        <f>$AB$4</f>
        <v>業務課</v>
      </c>
      <c r="AC296" s="370"/>
      <c r="AD296" s="367"/>
    </row>
    <row r="297" spans="2:30" ht="13.2" customHeight="1">
      <c r="B297" s="410"/>
      <c r="C297" s="411"/>
      <c r="D297" s="411"/>
      <c r="E297" s="411"/>
      <c r="F297" s="411"/>
      <c r="G297" s="411"/>
      <c r="H297" s="411"/>
      <c r="I297" s="411"/>
      <c r="J297" s="411"/>
      <c r="K297" s="411"/>
      <c r="L297" s="411"/>
      <c r="M297" s="411"/>
      <c r="N297" s="26"/>
      <c r="Q297" s="368"/>
      <c r="R297" s="369"/>
      <c r="S297" s="368"/>
      <c r="T297" s="371"/>
      <c r="U297" s="369"/>
      <c r="V297" s="448" t="str">
        <f>$V$5</f>
        <v>（工場長）</v>
      </c>
      <c r="W297" s="449"/>
      <c r="X297" s="450"/>
      <c r="Y297" s="368"/>
      <c r="Z297" s="371"/>
      <c r="AA297" s="369"/>
      <c r="AB297" s="368"/>
      <c r="AC297" s="371"/>
      <c r="AD297" s="369"/>
    </row>
    <row r="298" spans="2:30" ht="13.2" customHeight="1">
      <c r="B298" s="184" t="str">
        <f>IF($B$6="","",$B$6)</f>
        <v>首都圏オフィス</v>
      </c>
      <c r="C298" s="184"/>
      <c r="D298" s="184"/>
      <c r="E298" s="184"/>
      <c r="F298" s="184"/>
      <c r="G298" s="184"/>
      <c r="H298" s="184"/>
      <c r="I298" s="465" t="str">
        <f>$I$6</f>
        <v>承認者</v>
      </c>
      <c r="J298" s="396" t="e" vm="1">
        <v>#VALUE!</v>
      </c>
      <c r="K298" s="396"/>
      <c r="L298" s="466" t="str">
        <f>$L$6</f>
        <v>担当者</v>
      </c>
      <c r="M298" s="30"/>
      <c r="N298" s="31"/>
      <c r="Q298" s="27"/>
      <c r="R298" s="28"/>
      <c r="S298" s="366" t="str">
        <f>IF($S$6="","",$S$6)</f>
        <v/>
      </c>
      <c r="T298" s="370"/>
      <c r="U298" s="367"/>
      <c r="V298" s="366" t="str">
        <f>IF($V$6="","",$V$6)</f>
        <v/>
      </c>
      <c r="W298" s="370"/>
      <c r="X298" s="367"/>
      <c r="Y298" s="366" t="str">
        <f>IF($Y$6="","",$Y$6)</f>
        <v/>
      </c>
      <c r="Z298" s="370"/>
      <c r="AA298" s="367"/>
      <c r="AB298" s="366" t="str">
        <f>IF($AB$6="","",$AB$6)</f>
        <v/>
      </c>
      <c r="AC298" s="370"/>
      <c r="AD298" s="367"/>
    </row>
    <row r="299" spans="2:30" ht="13.05" customHeight="1">
      <c r="B299" s="184"/>
      <c r="C299" s="184"/>
      <c r="D299" s="184"/>
      <c r="E299" s="184"/>
      <c r="F299" s="184"/>
      <c r="G299" s="184"/>
      <c r="H299" s="184"/>
      <c r="I299" s="219"/>
      <c r="J299" s="396"/>
      <c r="K299" s="396"/>
      <c r="L299" s="467"/>
      <c r="M299" s="32" t="str">
        <f>IF($M$7="","",$M$7)</f>
        <v/>
      </c>
      <c r="N299" s="33"/>
      <c r="Q299" s="366" t="str">
        <f>$Q$7</f>
        <v>四工</v>
      </c>
      <c r="R299" s="367"/>
      <c r="S299" s="397"/>
      <c r="T299" s="398"/>
      <c r="U299" s="399"/>
      <c r="V299" s="397"/>
      <c r="W299" s="398"/>
      <c r="X299" s="399"/>
      <c r="Y299" s="397"/>
      <c r="Z299" s="398"/>
      <c r="AA299" s="399"/>
      <c r="AB299" s="397"/>
      <c r="AC299" s="398"/>
      <c r="AD299" s="399"/>
    </row>
    <row r="300" spans="2:30" ht="13.05" customHeight="1">
      <c r="B300" s="184"/>
      <c r="C300" s="184"/>
      <c r="D300" s="184"/>
      <c r="E300" s="184"/>
      <c r="F300" s="184"/>
      <c r="G300" s="184"/>
      <c r="H300" s="184"/>
      <c r="I300" s="219"/>
      <c r="J300" s="396"/>
      <c r="K300" s="396"/>
      <c r="L300" s="468"/>
      <c r="M300" s="34"/>
      <c r="N300" s="35"/>
      <c r="Q300" s="368"/>
      <c r="R300" s="369"/>
      <c r="S300" s="368"/>
      <c r="T300" s="371"/>
      <c r="U300" s="369"/>
      <c r="V300" s="368"/>
      <c r="W300" s="371"/>
      <c r="X300" s="369"/>
      <c r="Y300" s="368"/>
      <c r="Z300" s="371"/>
      <c r="AA300" s="369"/>
      <c r="AB300" s="368"/>
      <c r="AC300" s="371"/>
      <c r="AD300" s="369"/>
    </row>
    <row r="301" spans="2:30">
      <c r="S301" s="11" t="str">
        <f>$S$9</f>
        <v>※業務課は確認後、保管する。</v>
      </c>
    </row>
    <row r="303" spans="2:30" ht="13.2" customHeight="1">
      <c r="B303" s="29"/>
      <c r="C303" s="10"/>
      <c r="D303" s="10"/>
      <c r="E303" s="10"/>
      <c r="F303" s="10"/>
      <c r="G303" s="10"/>
      <c r="H303" s="10"/>
      <c r="I303" s="10"/>
      <c r="J303" s="10"/>
      <c r="K303" s="10"/>
      <c r="L303" s="10"/>
      <c r="M303" s="10"/>
      <c r="N303" s="9"/>
      <c r="O303" s="9"/>
      <c r="P303" s="9"/>
      <c r="Q303" s="9"/>
      <c r="R303" s="9"/>
      <c r="S303" s="9"/>
      <c r="T303" s="9"/>
      <c r="U303" s="9"/>
      <c r="V303" s="9"/>
      <c r="W303" s="9"/>
      <c r="X303" s="9"/>
      <c r="Y303" s="9"/>
      <c r="Z303" s="9"/>
      <c r="AA303" s="9"/>
      <c r="AB303" s="9"/>
      <c r="AC303" s="9"/>
      <c r="AD303" s="8"/>
    </row>
    <row r="304" spans="2:30" ht="13.2" customHeight="1">
      <c r="B304" s="12" t="s">
        <v>585</v>
      </c>
      <c r="C304" s="7"/>
      <c r="D304" s="7"/>
      <c r="E304" s="7"/>
      <c r="F304" s="7"/>
      <c r="G304" s="7"/>
      <c r="H304" s="7"/>
      <c r="I304" s="7"/>
      <c r="J304" s="7"/>
      <c r="K304" s="7"/>
      <c r="L304" s="7"/>
      <c r="M304" s="7"/>
      <c r="N304" s="6"/>
      <c r="O304" s="6"/>
      <c r="P304" s="6"/>
      <c r="Q304" s="6"/>
      <c r="R304" s="6"/>
      <c r="S304" s="6"/>
      <c r="T304" s="6"/>
      <c r="U304" s="6"/>
      <c r="V304" s="6"/>
      <c r="W304" s="6"/>
      <c r="X304" s="6"/>
      <c r="Y304" s="6"/>
      <c r="Z304" s="6"/>
      <c r="AA304" s="6"/>
      <c r="AB304" s="6"/>
      <c r="AC304" s="6"/>
      <c r="AD304" s="5"/>
    </row>
    <row r="305" spans="2:30" ht="13.2" customHeight="1">
      <c r="B305" s="4"/>
      <c r="C305" s="3"/>
      <c r="D305" s="3"/>
      <c r="E305" s="3"/>
      <c r="F305" s="3"/>
      <c r="G305" s="3"/>
      <c r="H305" s="3"/>
      <c r="I305" s="3"/>
      <c r="J305" s="3"/>
      <c r="K305" s="3"/>
      <c r="L305" s="3"/>
      <c r="M305" s="3"/>
      <c r="N305" s="2"/>
      <c r="O305" s="2"/>
      <c r="P305" s="2"/>
      <c r="Q305" s="2"/>
      <c r="R305" s="2"/>
      <c r="S305" s="2"/>
      <c r="T305" s="2"/>
      <c r="U305" s="2"/>
      <c r="V305" s="2"/>
      <c r="W305" s="2"/>
      <c r="X305" s="2"/>
      <c r="Y305" s="2"/>
      <c r="Z305" s="2"/>
      <c r="AA305" s="2"/>
      <c r="AB305" s="2"/>
      <c r="AC305" s="2"/>
      <c r="AD305" s="1"/>
    </row>
    <row r="306" spans="2:30" ht="13.5" customHeight="1">
      <c r="B306" s="204" t="s">
        <v>298</v>
      </c>
      <c r="C306" s="204"/>
      <c r="D306" s="204"/>
      <c r="E306" s="204"/>
      <c r="F306" s="204"/>
      <c r="G306" s="204"/>
      <c r="H306" s="204"/>
      <c r="I306" s="204"/>
      <c r="J306" s="204"/>
      <c r="K306" s="204"/>
      <c r="L306" s="206" t="s">
        <v>297</v>
      </c>
      <c r="M306" s="206"/>
      <c r="N306" s="400" t="s">
        <v>296</v>
      </c>
      <c r="O306" s="401"/>
      <c r="P306" s="401"/>
      <c r="Q306" s="401"/>
      <c r="R306" s="401"/>
      <c r="S306" s="401"/>
      <c r="T306" s="401"/>
      <c r="U306" s="402"/>
      <c r="V306" s="416" t="s">
        <v>295</v>
      </c>
      <c r="W306" s="417"/>
      <c r="X306" s="417"/>
      <c r="Y306" s="419" t="s">
        <v>702</v>
      </c>
      <c r="Z306" s="372"/>
      <c r="AA306" s="372"/>
      <c r="AB306" s="372"/>
      <c r="AC306" s="372"/>
      <c r="AD306" s="372"/>
    </row>
    <row r="307" spans="2:30" ht="13.2" customHeight="1">
      <c r="B307" s="204"/>
      <c r="C307" s="204"/>
      <c r="D307" s="204"/>
      <c r="E307" s="204"/>
      <c r="F307" s="204"/>
      <c r="G307" s="204"/>
      <c r="H307" s="204"/>
      <c r="I307" s="204"/>
      <c r="J307" s="204"/>
      <c r="K307" s="204"/>
      <c r="L307" s="206"/>
      <c r="M307" s="206"/>
      <c r="N307" s="412"/>
      <c r="O307" s="413"/>
      <c r="P307" s="413"/>
      <c r="Q307" s="413"/>
      <c r="R307" s="413"/>
      <c r="S307" s="413"/>
      <c r="T307" s="413"/>
      <c r="U307" s="414"/>
      <c r="V307" s="417"/>
      <c r="W307" s="417"/>
      <c r="X307" s="417"/>
      <c r="Y307" s="372"/>
      <c r="Z307" s="372"/>
      <c r="AA307" s="372"/>
      <c r="AB307" s="372"/>
      <c r="AC307" s="372"/>
      <c r="AD307" s="372"/>
    </row>
    <row r="308" spans="2:30" ht="13.2" customHeight="1">
      <c r="B308" s="204"/>
      <c r="C308" s="204"/>
      <c r="D308" s="204"/>
      <c r="E308" s="204"/>
      <c r="F308" s="204"/>
      <c r="G308" s="204"/>
      <c r="H308" s="204"/>
      <c r="I308" s="204"/>
      <c r="J308" s="204"/>
      <c r="K308" s="204"/>
      <c r="L308" s="206"/>
      <c r="M308" s="206"/>
      <c r="N308" s="400" t="s">
        <v>294</v>
      </c>
      <c r="O308" s="401"/>
      <c r="P308" s="401"/>
      <c r="Q308" s="402"/>
      <c r="R308" s="400" t="s">
        <v>293</v>
      </c>
      <c r="S308" s="401"/>
      <c r="T308" s="401"/>
      <c r="U308" s="402"/>
      <c r="V308" s="417"/>
      <c r="W308" s="417"/>
      <c r="X308" s="417"/>
      <c r="Y308" s="372"/>
      <c r="Z308" s="372"/>
      <c r="AA308" s="372"/>
      <c r="AB308" s="372"/>
      <c r="AC308" s="372"/>
      <c r="AD308" s="372"/>
    </row>
    <row r="309" spans="2:30" ht="13.95" customHeight="1" thickBot="1">
      <c r="B309" s="205"/>
      <c r="C309" s="205"/>
      <c r="D309" s="205"/>
      <c r="E309" s="205"/>
      <c r="F309" s="205"/>
      <c r="G309" s="205"/>
      <c r="H309" s="205"/>
      <c r="I309" s="205"/>
      <c r="J309" s="205"/>
      <c r="K309" s="205"/>
      <c r="L309" s="207"/>
      <c r="M309" s="207"/>
      <c r="N309" s="603"/>
      <c r="O309" s="604"/>
      <c r="P309" s="604"/>
      <c r="Q309" s="605"/>
      <c r="R309" s="603"/>
      <c r="S309" s="604"/>
      <c r="T309" s="604"/>
      <c r="U309" s="605"/>
      <c r="V309" s="577"/>
      <c r="W309" s="577"/>
      <c r="X309" s="577"/>
      <c r="Y309" s="578"/>
      <c r="Z309" s="578"/>
      <c r="AA309" s="578"/>
      <c r="AB309" s="578"/>
      <c r="AC309" s="578"/>
      <c r="AD309" s="578"/>
    </row>
    <row r="310" spans="2:30" ht="13.5" customHeight="1" thickTop="1">
      <c r="B310" s="609"/>
      <c r="C310" s="609"/>
      <c r="D310" s="609"/>
      <c r="E310" s="610"/>
      <c r="F310" s="611"/>
      <c r="G310" s="611"/>
      <c r="H310" s="611"/>
      <c r="I310" s="611"/>
      <c r="J310" s="611"/>
      <c r="K310" s="612"/>
      <c r="L310" s="599"/>
      <c r="M310" s="599"/>
      <c r="N310" s="565"/>
      <c r="O310" s="566"/>
      <c r="P310" s="566"/>
      <c r="Q310" s="567"/>
      <c r="R310" s="565"/>
      <c r="S310" s="566"/>
      <c r="T310" s="566"/>
      <c r="U310" s="567"/>
      <c r="V310" s="565"/>
      <c r="W310" s="566"/>
      <c r="X310" s="567"/>
      <c r="Y310" s="571"/>
      <c r="Z310" s="572"/>
      <c r="AA310" s="572"/>
      <c r="AB310" s="572"/>
      <c r="AC310" s="572"/>
      <c r="AD310" s="573"/>
    </row>
    <row r="311" spans="2:30" ht="13.5" customHeight="1">
      <c r="B311" s="609"/>
      <c r="C311" s="609"/>
      <c r="D311" s="609"/>
      <c r="E311" s="613"/>
      <c r="F311" s="614"/>
      <c r="G311" s="614"/>
      <c r="H311" s="614"/>
      <c r="I311" s="614"/>
      <c r="J311" s="614"/>
      <c r="K311" s="615"/>
      <c r="L311" s="599"/>
      <c r="M311" s="599"/>
      <c r="N311" s="568"/>
      <c r="O311" s="569"/>
      <c r="P311" s="569"/>
      <c r="Q311" s="570"/>
      <c r="R311" s="568"/>
      <c r="S311" s="569"/>
      <c r="T311" s="569"/>
      <c r="U311" s="570"/>
      <c r="V311" s="568"/>
      <c r="W311" s="569"/>
      <c r="X311" s="570"/>
      <c r="Y311" s="574"/>
      <c r="Z311" s="575"/>
      <c r="AA311" s="575"/>
      <c r="AB311" s="575"/>
      <c r="AC311" s="575"/>
      <c r="AD311" s="576"/>
    </row>
    <row r="312" spans="2:30" ht="13.5" customHeight="1">
      <c r="B312" s="609"/>
      <c r="C312" s="609"/>
      <c r="D312" s="609"/>
      <c r="E312" s="598"/>
      <c r="F312" s="598"/>
      <c r="G312" s="598"/>
      <c r="H312" s="598"/>
      <c r="I312" s="598"/>
      <c r="J312" s="598"/>
      <c r="K312" s="598"/>
      <c r="L312" s="599"/>
      <c r="M312" s="599"/>
      <c r="N312" s="600"/>
      <c r="O312" s="601"/>
      <c r="P312" s="601"/>
      <c r="Q312" s="602"/>
      <c r="R312" s="600"/>
      <c r="S312" s="601"/>
      <c r="T312" s="601"/>
      <c r="U312" s="602"/>
      <c r="V312" s="600"/>
      <c r="W312" s="601"/>
      <c r="X312" s="602"/>
      <c r="Y312" s="606"/>
      <c r="Z312" s="607"/>
      <c r="AA312" s="607"/>
      <c r="AB312" s="607"/>
      <c r="AC312" s="607"/>
      <c r="AD312" s="608"/>
    </row>
    <row r="313" spans="2:30" ht="13.05" customHeight="1">
      <c r="B313" s="609"/>
      <c r="C313" s="609"/>
      <c r="D313" s="609"/>
      <c r="E313" s="598"/>
      <c r="F313" s="598"/>
      <c r="G313" s="598"/>
      <c r="H313" s="598"/>
      <c r="I313" s="598"/>
      <c r="J313" s="598"/>
      <c r="K313" s="598"/>
      <c r="L313" s="599"/>
      <c r="M313" s="599"/>
      <c r="N313" s="568"/>
      <c r="O313" s="569"/>
      <c r="P313" s="569"/>
      <c r="Q313" s="570"/>
      <c r="R313" s="568"/>
      <c r="S313" s="569"/>
      <c r="T313" s="569"/>
      <c r="U313" s="570"/>
      <c r="V313" s="568"/>
      <c r="W313" s="569"/>
      <c r="X313" s="570"/>
      <c r="Y313" s="574"/>
      <c r="Z313" s="575"/>
      <c r="AA313" s="575"/>
      <c r="AB313" s="575"/>
      <c r="AC313" s="575"/>
      <c r="AD313" s="576"/>
    </row>
    <row r="314" spans="2:30" ht="13.05" customHeight="1">
      <c r="B314" s="609"/>
      <c r="C314" s="609"/>
      <c r="D314" s="609"/>
      <c r="E314" s="598"/>
      <c r="F314" s="598"/>
      <c r="G314" s="598"/>
      <c r="H314" s="598"/>
      <c r="I314" s="598"/>
      <c r="J314" s="598"/>
      <c r="K314" s="598"/>
      <c r="L314" s="599"/>
      <c r="M314" s="599"/>
      <c r="N314" s="600"/>
      <c r="O314" s="601"/>
      <c r="P314" s="601"/>
      <c r="Q314" s="602"/>
      <c r="R314" s="600"/>
      <c r="S314" s="601"/>
      <c r="T314" s="601"/>
      <c r="U314" s="602"/>
      <c r="V314" s="600"/>
      <c r="W314" s="601"/>
      <c r="X314" s="602"/>
      <c r="Y314" s="606"/>
      <c r="Z314" s="607"/>
      <c r="AA314" s="607"/>
      <c r="AB314" s="607"/>
      <c r="AC314" s="607"/>
      <c r="AD314" s="608"/>
    </row>
    <row r="315" spans="2:30" ht="13.05" customHeight="1">
      <c r="B315" s="609"/>
      <c r="C315" s="609"/>
      <c r="D315" s="609"/>
      <c r="E315" s="598"/>
      <c r="F315" s="598"/>
      <c r="G315" s="598"/>
      <c r="H315" s="598"/>
      <c r="I315" s="598"/>
      <c r="J315" s="598"/>
      <c r="K315" s="598"/>
      <c r="L315" s="599"/>
      <c r="M315" s="599"/>
      <c r="N315" s="568"/>
      <c r="O315" s="569"/>
      <c r="P315" s="569"/>
      <c r="Q315" s="570"/>
      <c r="R315" s="568"/>
      <c r="S315" s="569"/>
      <c r="T315" s="569"/>
      <c r="U315" s="570"/>
      <c r="V315" s="568"/>
      <c r="W315" s="569"/>
      <c r="X315" s="570"/>
      <c r="Y315" s="574"/>
      <c r="Z315" s="575"/>
      <c r="AA315" s="575"/>
      <c r="AB315" s="575"/>
      <c r="AC315" s="575"/>
      <c r="AD315" s="576"/>
    </row>
    <row r="316" spans="2:30" ht="13.05" customHeight="1">
      <c r="B316" s="609"/>
      <c r="C316" s="609"/>
      <c r="D316" s="609"/>
      <c r="E316" s="598"/>
      <c r="F316" s="598"/>
      <c r="G316" s="598"/>
      <c r="H316" s="598"/>
      <c r="I316" s="598"/>
      <c r="J316" s="598"/>
      <c r="K316" s="598"/>
      <c r="L316" s="599"/>
      <c r="M316" s="599"/>
      <c r="N316" s="600"/>
      <c r="O316" s="601"/>
      <c r="P316" s="601"/>
      <c r="Q316" s="602"/>
      <c r="R316" s="600"/>
      <c r="S316" s="601"/>
      <c r="T316" s="601"/>
      <c r="U316" s="602"/>
      <c r="V316" s="600"/>
      <c r="W316" s="601"/>
      <c r="X316" s="602"/>
      <c r="Y316" s="606"/>
      <c r="Z316" s="607"/>
      <c r="AA316" s="607"/>
      <c r="AB316" s="607"/>
      <c r="AC316" s="607"/>
      <c r="AD316" s="608"/>
    </row>
    <row r="317" spans="2:30" ht="13.05" customHeight="1">
      <c r="B317" s="609"/>
      <c r="C317" s="609"/>
      <c r="D317" s="609"/>
      <c r="E317" s="598"/>
      <c r="F317" s="598"/>
      <c r="G317" s="598"/>
      <c r="H317" s="598"/>
      <c r="I317" s="598"/>
      <c r="J317" s="598"/>
      <c r="K317" s="598"/>
      <c r="L317" s="599"/>
      <c r="M317" s="599"/>
      <c r="N317" s="568"/>
      <c r="O317" s="569"/>
      <c r="P317" s="569"/>
      <c r="Q317" s="570"/>
      <c r="R317" s="568"/>
      <c r="S317" s="569"/>
      <c r="T317" s="569"/>
      <c r="U317" s="570"/>
      <c r="V317" s="568"/>
      <c r="W317" s="569"/>
      <c r="X317" s="570"/>
      <c r="Y317" s="574"/>
      <c r="Z317" s="575"/>
      <c r="AA317" s="575"/>
      <c r="AB317" s="575"/>
      <c r="AC317" s="575"/>
      <c r="AD317" s="576"/>
    </row>
    <row r="318" spans="2:30" ht="13.05" customHeight="1">
      <c r="B318" s="609"/>
      <c r="C318" s="609"/>
      <c r="D318" s="609"/>
      <c r="E318" s="598"/>
      <c r="F318" s="598"/>
      <c r="G318" s="598"/>
      <c r="H318" s="598"/>
      <c r="I318" s="598"/>
      <c r="J318" s="598"/>
      <c r="K318" s="598"/>
      <c r="L318" s="599"/>
      <c r="M318" s="599"/>
      <c r="N318" s="600"/>
      <c r="O318" s="601"/>
      <c r="P318" s="601"/>
      <c r="Q318" s="602"/>
      <c r="R318" s="600"/>
      <c r="S318" s="601"/>
      <c r="T318" s="601"/>
      <c r="U318" s="602"/>
      <c r="V318" s="600"/>
      <c r="W318" s="601"/>
      <c r="X318" s="602"/>
      <c r="Y318" s="606"/>
      <c r="Z318" s="607"/>
      <c r="AA318" s="607"/>
      <c r="AB318" s="607"/>
      <c r="AC318" s="607"/>
      <c r="AD318" s="608"/>
    </row>
    <row r="319" spans="2:30" ht="12" customHeight="1">
      <c r="B319" s="609"/>
      <c r="C319" s="609"/>
      <c r="D319" s="609"/>
      <c r="E319" s="598"/>
      <c r="F319" s="598"/>
      <c r="G319" s="598"/>
      <c r="H319" s="598"/>
      <c r="I319" s="598"/>
      <c r="J319" s="598"/>
      <c r="K319" s="598"/>
      <c r="L319" s="599"/>
      <c r="M319" s="599"/>
      <c r="N319" s="568"/>
      <c r="O319" s="569"/>
      <c r="P319" s="569"/>
      <c r="Q319" s="570"/>
      <c r="R319" s="568"/>
      <c r="S319" s="569"/>
      <c r="T319" s="569"/>
      <c r="U319" s="570"/>
      <c r="V319" s="568"/>
      <c r="W319" s="569"/>
      <c r="X319" s="570"/>
      <c r="Y319" s="574"/>
      <c r="Z319" s="575"/>
      <c r="AA319" s="575"/>
      <c r="AB319" s="575"/>
      <c r="AC319" s="575"/>
      <c r="AD319" s="576"/>
    </row>
    <row r="320" spans="2:30" ht="13.05" customHeight="1">
      <c r="B320" s="609"/>
      <c r="C320" s="609"/>
      <c r="D320" s="609"/>
      <c r="E320" s="598"/>
      <c r="F320" s="598"/>
      <c r="G320" s="598"/>
      <c r="H320" s="598"/>
      <c r="I320" s="598"/>
      <c r="J320" s="598"/>
      <c r="K320" s="598"/>
      <c r="L320" s="599"/>
      <c r="M320" s="599"/>
      <c r="N320" s="600"/>
      <c r="O320" s="601"/>
      <c r="P320" s="601"/>
      <c r="Q320" s="602"/>
      <c r="R320" s="600"/>
      <c r="S320" s="601"/>
      <c r="T320" s="601"/>
      <c r="U320" s="602"/>
      <c r="V320" s="600"/>
      <c r="W320" s="601"/>
      <c r="X320" s="602"/>
      <c r="Y320" s="606"/>
      <c r="Z320" s="607"/>
      <c r="AA320" s="607"/>
      <c r="AB320" s="607"/>
      <c r="AC320" s="607"/>
      <c r="AD320" s="608"/>
    </row>
    <row r="321" spans="2:30" ht="13.05" customHeight="1">
      <c r="B321" s="609"/>
      <c r="C321" s="609"/>
      <c r="D321" s="609"/>
      <c r="E321" s="598"/>
      <c r="F321" s="598"/>
      <c r="G321" s="598"/>
      <c r="H321" s="598"/>
      <c r="I321" s="598"/>
      <c r="J321" s="598"/>
      <c r="K321" s="598"/>
      <c r="L321" s="599"/>
      <c r="M321" s="599"/>
      <c r="N321" s="568"/>
      <c r="O321" s="569"/>
      <c r="P321" s="569"/>
      <c r="Q321" s="570"/>
      <c r="R321" s="568"/>
      <c r="S321" s="569"/>
      <c r="T321" s="569"/>
      <c r="U321" s="570"/>
      <c r="V321" s="568"/>
      <c r="W321" s="569"/>
      <c r="X321" s="570"/>
      <c r="Y321" s="574"/>
      <c r="Z321" s="575"/>
      <c r="AA321" s="575"/>
      <c r="AB321" s="575"/>
      <c r="AC321" s="575"/>
      <c r="AD321" s="576"/>
    </row>
    <row r="322" spans="2:30" ht="13.05" customHeight="1">
      <c r="B322" s="618"/>
      <c r="C322" s="618"/>
      <c r="D322" s="618"/>
      <c r="E322" s="619"/>
      <c r="F322" s="619"/>
      <c r="G322" s="619"/>
      <c r="H322" s="619"/>
      <c r="I322" s="619"/>
      <c r="J322" s="619"/>
      <c r="K322" s="619"/>
      <c r="L322" s="599"/>
      <c r="M322" s="599"/>
      <c r="N322" s="600"/>
      <c r="O322" s="601"/>
      <c r="P322" s="601"/>
      <c r="Q322" s="602"/>
      <c r="R322" s="600"/>
      <c r="S322" s="601"/>
      <c r="T322" s="601"/>
      <c r="U322" s="602"/>
      <c r="V322" s="600"/>
      <c r="W322" s="601"/>
      <c r="X322" s="602"/>
      <c r="Y322" s="606"/>
      <c r="Z322" s="607"/>
      <c r="AA322" s="607"/>
      <c r="AB322" s="607"/>
      <c r="AC322" s="607"/>
      <c r="AD322" s="608"/>
    </row>
    <row r="323" spans="2:30" ht="13.05" customHeight="1">
      <c r="B323" s="616"/>
      <c r="C323" s="616"/>
      <c r="D323" s="616"/>
      <c r="E323" s="617"/>
      <c r="F323" s="617"/>
      <c r="G323" s="617"/>
      <c r="H323" s="617"/>
      <c r="I323" s="617"/>
      <c r="J323" s="617"/>
      <c r="K323" s="617"/>
      <c r="L323" s="599"/>
      <c r="M323" s="599"/>
      <c r="N323" s="568"/>
      <c r="O323" s="569"/>
      <c r="P323" s="569"/>
      <c r="Q323" s="570"/>
      <c r="R323" s="568"/>
      <c r="S323" s="569"/>
      <c r="T323" s="569"/>
      <c r="U323" s="570"/>
      <c r="V323" s="568"/>
      <c r="W323" s="569"/>
      <c r="X323" s="570"/>
      <c r="Y323" s="574"/>
      <c r="Z323" s="575"/>
      <c r="AA323" s="575"/>
      <c r="AB323" s="575"/>
      <c r="AC323" s="575"/>
      <c r="AD323" s="576"/>
    </row>
    <row r="324" spans="2:30" ht="13.05" customHeight="1">
      <c r="B324" s="620"/>
      <c r="C324" s="620"/>
      <c r="D324" s="620"/>
      <c r="E324" s="617"/>
      <c r="F324" s="617"/>
      <c r="G324" s="617"/>
      <c r="H324" s="617"/>
      <c r="I324" s="617"/>
      <c r="J324" s="617"/>
      <c r="K324" s="617"/>
      <c r="L324" s="621"/>
      <c r="M324" s="621"/>
      <c r="N324" s="600"/>
      <c r="O324" s="601"/>
      <c r="P324" s="601"/>
      <c r="Q324" s="602"/>
      <c r="R324" s="600"/>
      <c r="S324" s="601"/>
      <c r="T324" s="601"/>
      <c r="U324" s="602"/>
      <c r="V324" s="600"/>
      <c r="W324" s="601"/>
      <c r="X324" s="602"/>
      <c r="Y324" s="606"/>
      <c r="Z324" s="607"/>
      <c r="AA324" s="607"/>
      <c r="AB324" s="607"/>
      <c r="AC324" s="607"/>
      <c r="AD324" s="608"/>
    </row>
    <row r="325" spans="2:30" ht="13.05" customHeight="1">
      <c r="B325" s="616"/>
      <c r="C325" s="616"/>
      <c r="D325" s="616"/>
      <c r="E325" s="617"/>
      <c r="F325" s="617"/>
      <c r="G325" s="617"/>
      <c r="H325" s="617"/>
      <c r="I325" s="617"/>
      <c r="J325" s="617"/>
      <c r="K325" s="617"/>
      <c r="L325" s="599"/>
      <c r="M325" s="599"/>
      <c r="N325" s="568"/>
      <c r="O325" s="569"/>
      <c r="P325" s="569"/>
      <c r="Q325" s="570"/>
      <c r="R325" s="568"/>
      <c r="S325" s="569"/>
      <c r="T325" s="569"/>
      <c r="U325" s="570"/>
      <c r="V325" s="568"/>
      <c r="W325" s="569"/>
      <c r="X325" s="570"/>
      <c r="Y325" s="574"/>
      <c r="Z325" s="575"/>
      <c r="AA325" s="575"/>
      <c r="AB325" s="575"/>
      <c r="AC325" s="575"/>
      <c r="AD325" s="576"/>
    </row>
    <row r="326" spans="2:30" ht="13.05" customHeight="1">
      <c r="B326" s="616"/>
      <c r="C326" s="616"/>
      <c r="D326" s="616"/>
      <c r="E326" s="617"/>
      <c r="F326" s="617"/>
      <c r="G326" s="617"/>
      <c r="H326" s="617"/>
      <c r="I326" s="617"/>
      <c r="J326" s="617"/>
      <c r="K326" s="617"/>
      <c r="L326" s="599"/>
      <c r="M326" s="599"/>
      <c r="N326" s="600"/>
      <c r="O326" s="601"/>
      <c r="P326" s="601"/>
      <c r="Q326" s="602"/>
      <c r="R326" s="600"/>
      <c r="S326" s="601"/>
      <c r="T326" s="601"/>
      <c r="U326" s="602"/>
      <c r="V326" s="600"/>
      <c r="W326" s="601"/>
      <c r="X326" s="602"/>
      <c r="Y326" s="606"/>
      <c r="Z326" s="607"/>
      <c r="AA326" s="607"/>
      <c r="AB326" s="607"/>
      <c r="AC326" s="607"/>
      <c r="AD326" s="608"/>
    </row>
    <row r="327" spans="2:30" ht="13.05" customHeight="1">
      <c r="B327" s="616"/>
      <c r="C327" s="616"/>
      <c r="D327" s="616"/>
      <c r="E327" s="617"/>
      <c r="F327" s="617"/>
      <c r="G327" s="617"/>
      <c r="H327" s="617"/>
      <c r="I327" s="617"/>
      <c r="J327" s="617"/>
      <c r="K327" s="617"/>
      <c r="L327" s="599"/>
      <c r="M327" s="599"/>
      <c r="N327" s="568"/>
      <c r="O327" s="569"/>
      <c r="P327" s="569"/>
      <c r="Q327" s="570"/>
      <c r="R327" s="568"/>
      <c r="S327" s="569"/>
      <c r="T327" s="569"/>
      <c r="U327" s="570"/>
      <c r="V327" s="568"/>
      <c r="W327" s="569"/>
      <c r="X327" s="570"/>
      <c r="Y327" s="574"/>
      <c r="Z327" s="575"/>
      <c r="AA327" s="575"/>
      <c r="AB327" s="575"/>
      <c r="AC327" s="575"/>
      <c r="AD327" s="576"/>
    </row>
    <row r="328" spans="2:30" ht="13.05" customHeight="1">
      <c r="B328" s="616"/>
      <c r="C328" s="616"/>
      <c r="D328" s="616"/>
      <c r="E328" s="617"/>
      <c r="F328" s="617"/>
      <c r="G328" s="617"/>
      <c r="H328" s="617"/>
      <c r="I328" s="617"/>
      <c r="J328" s="617"/>
      <c r="K328" s="617"/>
      <c r="L328" s="599"/>
      <c r="M328" s="599"/>
      <c r="N328" s="600"/>
      <c r="O328" s="601"/>
      <c r="P328" s="601"/>
      <c r="Q328" s="602"/>
      <c r="R328" s="600"/>
      <c r="S328" s="601"/>
      <c r="T328" s="601"/>
      <c r="U328" s="602"/>
      <c r="V328" s="600"/>
      <c r="W328" s="601"/>
      <c r="X328" s="602"/>
      <c r="Y328" s="606"/>
      <c r="Z328" s="607"/>
      <c r="AA328" s="607"/>
      <c r="AB328" s="607"/>
      <c r="AC328" s="607"/>
      <c r="AD328" s="608"/>
    </row>
    <row r="329" spans="2:30" ht="13.05" customHeight="1">
      <c r="B329" s="616"/>
      <c r="C329" s="616"/>
      <c r="D329" s="616"/>
      <c r="E329" s="617"/>
      <c r="F329" s="617"/>
      <c r="G329" s="617"/>
      <c r="H329" s="617"/>
      <c r="I329" s="617"/>
      <c r="J329" s="617"/>
      <c r="K329" s="617"/>
      <c r="L329" s="599"/>
      <c r="M329" s="599"/>
      <c r="N329" s="568"/>
      <c r="O329" s="569"/>
      <c r="P329" s="569"/>
      <c r="Q329" s="570"/>
      <c r="R329" s="568"/>
      <c r="S329" s="569"/>
      <c r="T329" s="569"/>
      <c r="U329" s="570"/>
      <c r="V329" s="568"/>
      <c r="W329" s="569"/>
      <c r="X329" s="570"/>
      <c r="Y329" s="574"/>
      <c r="Z329" s="575"/>
      <c r="AA329" s="575"/>
      <c r="AB329" s="575"/>
      <c r="AC329" s="575"/>
      <c r="AD329" s="576"/>
    </row>
    <row r="330" spans="2:30" ht="13.05" customHeight="1">
      <c r="B330" s="616"/>
      <c r="C330" s="616"/>
      <c r="D330" s="616"/>
      <c r="E330" s="617"/>
      <c r="F330" s="617"/>
      <c r="G330" s="617"/>
      <c r="H330" s="617"/>
      <c r="I330" s="617"/>
      <c r="J330" s="617"/>
      <c r="K330" s="617"/>
      <c r="L330" s="599"/>
      <c r="M330" s="599"/>
      <c r="N330" s="600"/>
      <c r="O330" s="601"/>
      <c r="P330" s="601"/>
      <c r="Q330" s="602"/>
      <c r="R330" s="600"/>
      <c r="S330" s="601"/>
      <c r="T330" s="601"/>
      <c r="U330" s="602"/>
      <c r="V330" s="600"/>
      <c r="W330" s="601"/>
      <c r="X330" s="602"/>
      <c r="Y330" s="606"/>
      <c r="Z330" s="607"/>
      <c r="AA330" s="607"/>
      <c r="AB330" s="607"/>
      <c r="AC330" s="607"/>
      <c r="AD330" s="608"/>
    </row>
    <row r="331" spans="2:30" ht="13.05" customHeight="1">
      <c r="B331" s="616"/>
      <c r="C331" s="616"/>
      <c r="D331" s="616"/>
      <c r="E331" s="617"/>
      <c r="F331" s="617"/>
      <c r="G331" s="617"/>
      <c r="H331" s="617"/>
      <c r="I331" s="617"/>
      <c r="J331" s="617"/>
      <c r="K331" s="617"/>
      <c r="L331" s="599"/>
      <c r="M331" s="599"/>
      <c r="N331" s="568"/>
      <c r="O331" s="569"/>
      <c r="P331" s="569"/>
      <c r="Q331" s="570"/>
      <c r="R331" s="568"/>
      <c r="S331" s="569"/>
      <c r="T331" s="569"/>
      <c r="U331" s="570"/>
      <c r="V331" s="568"/>
      <c r="W331" s="569"/>
      <c r="X331" s="570"/>
      <c r="Y331" s="574"/>
      <c r="Z331" s="575"/>
      <c r="AA331" s="575"/>
      <c r="AB331" s="575"/>
      <c r="AC331" s="575"/>
      <c r="AD331" s="576"/>
    </row>
    <row r="332" spans="2:30" ht="13.05" customHeight="1">
      <c r="B332" s="634"/>
      <c r="C332" s="635"/>
      <c r="D332" s="636"/>
      <c r="E332" s="637"/>
      <c r="F332" s="638"/>
      <c r="G332" s="638"/>
      <c r="H332" s="638"/>
      <c r="I332" s="638"/>
      <c r="J332" s="638"/>
      <c r="K332" s="639"/>
      <c r="L332" s="599"/>
      <c r="M332" s="599"/>
      <c r="N332" s="600"/>
      <c r="O332" s="601"/>
      <c r="P332" s="601"/>
      <c r="Q332" s="602"/>
      <c r="R332" s="600"/>
      <c r="S332" s="601"/>
      <c r="T332" s="601"/>
      <c r="U332" s="602"/>
      <c r="V332" s="600"/>
      <c r="W332" s="601"/>
      <c r="X332" s="602"/>
      <c r="Y332" s="606"/>
      <c r="Z332" s="607"/>
      <c r="AA332" s="607"/>
      <c r="AB332" s="607"/>
      <c r="AC332" s="607"/>
      <c r="AD332" s="608"/>
    </row>
    <row r="333" spans="2:30" ht="13.5" customHeight="1">
      <c r="B333" s="634"/>
      <c r="C333" s="635"/>
      <c r="D333" s="636"/>
      <c r="E333" s="637"/>
      <c r="F333" s="638"/>
      <c r="G333" s="638"/>
      <c r="H333" s="638"/>
      <c r="I333" s="638"/>
      <c r="J333" s="638"/>
      <c r="K333" s="639"/>
      <c r="L333" s="599"/>
      <c r="M333" s="599"/>
      <c r="N333" s="568"/>
      <c r="O333" s="569"/>
      <c r="P333" s="569"/>
      <c r="Q333" s="570"/>
      <c r="R333" s="568"/>
      <c r="S333" s="569"/>
      <c r="T333" s="569"/>
      <c r="U333" s="570"/>
      <c r="V333" s="568"/>
      <c r="W333" s="569"/>
      <c r="X333" s="570"/>
      <c r="Y333" s="574"/>
      <c r="Z333" s="575"/>
      <c r="AA333" s="575"/>
      <c r="AB333" s="575"/>
      <c r="AC333" s="575"/>
      <c r="AD333" s="576"/>
    </row>
    <row r="334" spans="2:30" ht="13.5" customHeight="1">
      <c r="B334" s="622"/>
      <c r="C334" s="623"/>
      <c r="D334" s="624"/>
      <c r="E334" s="628"/>
      <c r="F334" s="629"/>
      <c r="G334" s="629"/>
      <c r="H334" s="629"/>
      <c r="I334" s="629"/>
      <c r="J334" s="629"/>
      <c r="K334" s="630"/>
      <c r="L334" s="610"/>
      <c r="M334" s="612"/>
      <c r="N334" s="600"/>
      <c r="O334" s="601"/>
      <c r="P334" s="601"/>
      <c r="Q334" s="602"/>
      <c r="R334" s="600"/>
      <c r="S334" s="601"/>
      <c r="T334" s="601"/>
      <c r="U334" s="602"/>
      <c r="V334" s="600"/>
      <c r="W334" s="601"/>
      <c r="X334" s="602"/>
      <c r="Y334" s="606"/>
      <c r="Z334" s="607"/>
      <c r="AA334" s="607"/>
      <c r="AB334" s="607"/>
      <c r="AC334" s="607"/>
      <c r="AD334" s="608"/>
    </row>
    <row r="335" spans="2:30" ht="13.5" customHeight="1">
      <c r="B335" s="625"/>
      <c r="C335" s="626"/>
      <c r="D335" s="627"/>
      <c r="E335" s="631"/>
      <c r="F335" s="632"/>
      <c r="G335" s="632"/>
      <c r="H335" s="632"/>
      <c r="I335" s="632"/>
      <c r="J335" s="632"/>
      <c r="K335" s="633"/>
      <c r="L335" s="613"/>
      <c r="M335" s="615"/>
      <c r="N335" s="568"/>
      <c r="O335" s="569"/>
      <c r="P335" s="569"/>
      <c r="Q335" s="570"/>
      <c r="R335" s="568"/>
      <c r="S335" s="569"/>
      <c r="T335" s="569"/>
      <c r="U335" s="570"/>
      <c r="V335" s="568"/>
      <c r="W335" s="569"/>
      <c r="X335" s="570"/>
      <c r="Y335" s="574"/>
      <c r="Z335" s="575"/>
      <c r="AA335" s="575"/>
      <c r="AB335" s="575"/>
      <c r="AC335" s="575"/>
      <c r="AD335" s="576"/>
    </row>
    <row r="336" spans="2:30" ht="13.5" customHeight="1">
      <c r="B336" s="622"/>
      <c r="C336" s="623"/>
      <c r="D336" s="624"/>
      <c r="E336" s="628"/>
      <c r="F336" s="629"/>
      <c r="G336" s="629"/>
      <c r="H336" s="629"/>
      <c r="I336" s="629"/>
      <c r="J336" s="629"/>
      <c r="K336" s="630"/>
      <c r="L336" s="610"/>
      <c r="M336" s="612"/>
      <c r="N336" s="600"/>
      <c r="O336" s="601"/>
      <c r="P336" s="601"/>
      <c r="Q336" s="602"/>
      <c r="R336" s="600"/>
      <c r="S336" s="601"/>
      <c r="T336" s="601"/>
      <c r="U336" s="602"/>
      <c r="V336" s="600"/>
      <c r="W336" s="601"/>
      <c r="X336" s="602"/>
      <c r="Y336" s="606"/>
      <c r="Z336" s="607"/>
      <c r="AA336" s="607"/>
      <c r="AB336" s="607"/>
      <c r="AC336" s="607"/>
      <c r="AD336" s="608"/>
    </row>
    <row r="337" spans="2:30" ht="13.05" customHeight="1">
      <c r="B337" s="625"/>
      <c r="C337" s="626"/>
      <c r="D337" s="627"/>
      <c r="E337" s="631"/>
      <c r="F337" s="632"/>
      <c r="G337" s="632"/>
      <c r="H337" s="632"/>
      <c r="I337" s="632"/>
      <c r="J337" s="632"/>
      <c r="K337" s="633"/>
      <c r="L337" s="613"/>
      <c r="M337" s="615"/>
      <c r="N337" s="568"/>
      <c r="O337" s="569"/>
      <c r="P337" s="569"/>
      <c r="Q337" s="570"/>
      <c r="R337" s="568"/>
      <c r="S337" s="569"/>
      <c r="T337" s="569"/>
      <c r="U337" s="570"/>
      <c r="V337" s="568"/>
      <c r="W337" s="569"/>
      <c r="X337" s="570"/>
      <c r="Y337" s="574"/>
      <c r="Z337" s="575"/>
      <c r="AA337" s="575"/>
      <c r="AB337" s="575"/>
      <c r="AC337" s="575"/>
      <c r="AD337" s="576"/>
    </row>
    <row r="338" spans="2:30" ht="13.05" customHeight="1">
      <c r="B338" s="609"/>
      <c r="C338" s="609"/>
      <c r="D338" s="609"/>
      <c r="E338" s="598"/>
      <c r="F338" s="598"/>
      <c r="G338" s="598"/>
      <c r="H338" s="598"/>
      <c r="I338" s="598"/>
      <c r="J338" s="598"/>
      <c r="K338" s="598"/>
      <c r="L338" s="599"/>
      <c r="M338" s="599"/>
      <c r="N338" s="600"/>
      <c r="O338" s="601"/>
      <c r="P338" s="601"/>
      <c r="Q338" s="602"/>
      <c r="R338" s="600"/>
      <c r="S338" s="601"/>
      <c r="T338" s="601"/>
      <c r="U338" s="602"/>
      <c r="V338" s="600"/>
      <c r="W338" s="601"/>
      <c r="X338" s="602"/>
      <c r="Y338" s="606"/>
      <c r="Z338" s="607"/>
      <c r="AA338" s="607"/>
      <c r="AB338" s="607"/>
      <c r="AC338" s="607"/>
      <c r="AD338" s="608"/>
    </row>
    <row r="339" spans="2:30" ht="13.05" customHeight="1">
      <c r="B339" s="609"/>
      <c r="C339" s="609"/>
      <c r="D339" s="609"/>
      <c r="E339" s="598"/>
      <c r="F339" s="598"/>
      <c r="G339" s="598"/>
      <c r="H339" s="598"/>
      <c r="I339" s="598"/>
      <c r="J339" s="598"/>
      <c r="K339" s="598"/>
      <c r="L339" s="599"/>
      <c r="M339" s="599"/>
      <c r="N339" s="568"/>
      <c r="O339" s="569"/>
      <c r="P339" s="569"/>
      <c r="Q339" s="570"/>
      <c r="R339" s="568"/>
      <c r="S339" s="569"/>
      <c r="T339" s="569"/>
      <c r="U339" s="570"/>
      <c r="V339" s="568"/>
      <c r="W339" s="569"/>
      <c r="X339" s="570"/>
      <c r="Y339" s="574"/>
      <c r="Z339" s="575"/>
      <c r="AA339" s="575"/>
      <c r="AB339" s="575"/>
      <c r="AC339" s="575"/>
      <c r="AD339" s="576"/>
    </row>
    <row r="340" spans="2:30" ht="13.05" customHeight="1">
      <c r="B340" s="609"/>
      <c r="C340" s="609"/>
      <c r="D340" s="609"/>
      <c r="E340" s="598"/>
      <c r="F340" s="598"/>
      <c r="G340" s="598"/>
      <c r="H340" s="598"/>
      <c r="I340" s="598"/>
      <c r="J340" s="598"/>
      <c r="K340" s="598"/>
      <c r="L340" s="599"/>
      <c r="M340" s="599"/>
      <c r="N340" s="600"/>
      <c r="O340" s="601"/>
      <c r="P340" s="601"/>
      <c r="Q340" s="602"/>
      <c r="R340" s="600"/>
      <c r="S340" s="601"/>
      <c r="T340" s="601"/>
      <c r="U340" s="602"/>
      <c r="V340" s="600"/>
      <c r="W340" s="601"/>
      <c r="X340" s="602"/>
      <c r="Y340" s="606"/>
      <c r="Z340" s="607"/>
      <c r="AA340" s="607"/>
      <c r="AB340" s="607"/>
      <c r="AC340" s="607"/>
      <c r="AD340" s="608"/>
    </row>
    <row r="341" spans="2:30" ht="13.05" customHeight="1">
      <c r="B341" s="609"/>
      <c r="C341" s="609"/>
      <c r="D341" s="609"/>
      <c r="E341" s="598"/>
      <c r="F341" s="598"/>
      <c r="G341" s="598"/>
      <c r="H341" s="598"/>
      <c r="I341" s="598"/>
      <c r="J341" s="598"/>
      <c r="K341" s="598"/>
      <c r="L341" s="599"/>
      <c r="M341" s="599"/>
      <c r="N341" s="568"/>
      <c r="O341" s="569"/>
      <c r="P341" s="569"/>
      <c r="Q341" s="570"/>
      <c r="R341" s="568"/>
      <c r="S341" s="569"/>
      <c r="T341" s="569"/>
      <c r="U341" s="570"/>
      <c r="V341" s="568"/>
      <c r="W341" s="569"/>
      <c r="X341" s="570"/>
      <c r="Y341" s="574"/>
      <c r="Z341" s="575"/>
      <c r="AA341" s="575"/>
      <c r="AB341" s="575"/>
      <c r="AC341" s="575"/>
      <c r="AD341" s="576"/>
    </row>
    <row r="342" spans="2:30" ht="13.05" customHeight="1">
      <c r="B342" s="609"/>
      <c r="C342" s="609"/>
      <c r="D342" s="609"/>
      <c r="E342" s="598"/>
      <c r="F342" s="598"/>
      <c r="G342" s="598"/>
      <c r="H342" s="598"/>
      <c r="I342" s="598"/>
      <c r="J342" s="598"/>
      <c r="K342" s="598"/>
      <c r="L342" s="599"/>
      <c r="M342" s="599"/>
      <c r="N342" s="600"/>
      <c r="O342" s="601"/>
      <c r="P342" s="601"/>
      <c r="Q342" s="602"/>
      <c r="R342" s="600"/>
      <c r="S342" s="601"/>
      <c r="T342" s="601"/>
      <c r="U342" s="602"/>
      <c r="V342" s="600"/>
      <c r="W342" s="601"/>
      <c r="X342" s="602"/>
      <c r="Y342" s="606"/>
      <c r="Z342" s="607"/>
      <c r="AA342" s="607"/>
      <c r="AB342" s="607"/>
      <c r="AC342" s="607"/>
      <c r="AD342" s="608"/>
    </row>
    <row r="343" spans="2:30" ht="13.05" customHeight="1">
      <c r="B343" s="609"/>
      <c r="C343" s="609"/>
      <c r="D343" s="609"/>
      <c r="E343" s="598"/>
      <c r="F343" s="598"/>
      <c r="G343" s="598"/>
      <c r="H343" s="598"/>
      <c r="I343" s="598"/>
      <c r="J343" s="598"/>
      <c r="K343" s="598"/>
      <c r="L343" s="599"/>
      <c r="M343" s="599"/>
      <c r="N343" s="568"/>
      <c r="O343" s="569"/>
      <c r="P343" s="569"/>
      <c r="Q343" s="570"/>
      <c r="R343" s="568"/>
      <c r="S343" s="569"/>
      <c r="T343" s="569"/>
      <c r="U343" s="570"/>
      <c r="V343" s="568"/>
      <c r="W343" s="569"/>
      <c r="X343" s="570"/>
      <c r="Y343" s="574"/>
      <c r="Z343" s="575"/>
      <c r="AA343" s="575"/>
      <c r="AB343" s="575"/>
      <c r="AC343" s="575"/>
      <c r="AD343" s="576"/>
    </row>
    <row r="344" spans="2:30" ht="13.05" customHeight="1">
      <c r="B344" s="609"/>
      <c r="C344" s="609"/>
      <c r="D344" s="609"/>
      <c r="E344" s="598"/>
      <c r="F344" s="598"/>
      <c r="G344" s="598"/>
      <c r="H344" s="598"/>
      <c r="I344" s="598"/>
      <c r="J344" s="598"/>
      <c r="K344" s="598"/>
      <c r="L344" s="599"/>
      <c r="M344" s="599"/>
      <c r="N344" s="600"/>
      <c r="O344" s="601"/>
      <c r="P344" s="601"/>
      <c r="Q344" s="602"/>
      <c r="R344" s="600"/>
      <c r="S344" s="601"/>
      <c r="T344" s="601"/>
      <c r="U344" s="602"/>
      <c r="V344" s="600"/>
      <c r="W344" s="601"/>
      <c r="X344" s="602"/>
      <c r="Y344" s="606"/>
      <c r="Z344" s="607"/>
      <c r="AA344" s="607"/>
      <c r="AB344" s="607"/>
      <c r="AC344" s="607"/>
      <c r="AD344" s="608"/>
    </row>
    <row r="345" spans="2:30" ht="13.05" customHeight="1">
      <c r="B345" s="609"/>
      <c r="C345" s="609"/>
      <c r="D345" s="609"/>
      <c r="E345" s="598"/>
      <c r="F345" s="598"/>
      <c r="G345" s="598"/>
      <c r="H345" s="598"/>
      <c r="I345" s="598"/>
      <c r="J345" s="598"/>
      <c r="K345" s="598"/>
      <c r="L345" s="599"/>
      <c r="M345" s="599"/>
      <c r="N345" s="568"/>
      <c r="O345" s="569"/>
      <c r="P345" s="569"/>
      <c r="Q345" s="570"/>
      <c r="R345" s="568"/>
      <c r="S345" s="569"/>
      <c r="T345" s="569"/>
      <c r="U345" s="570"/>
      <c r="V345" s="568"/>
      <c r="W345" s="569"/>
      <c r="X345" s="570"/>
      <c r="Y345" s="574"/>
      <c r="Z345" s="575"/>
      <c r="AA345" s="575"/>
      <c r="AB345" s="575"/>
      <c r="AC345" s="575"/>
      <c r="AD345" s="576"/>
    </row>
    <row r="346" spans="2:30" ht="13.05" customHeight="1">
      <c r="B346" s="609"/>
      <c r="C346" s="609"/>
      <c r="D346" s="609"/>
      <c r="E346" s="598"/>
      <c r="F346" s="598"/>
      <c r="G346" s="598"/>
      <c r="H346" s="598"/>
      <c r="I346" s="598"/>
      <c r="J346" s="598"/>
      <c r="K346" s="598"/>
      <c r="L346" s="599"/>
      <c r="M346" s="599"/>
      <c r="N346" s="600"/>
      <c r="O346" s="601"/>
      <c r="P346" s="601"/>
      <c r="Q346" s="602"/>
      <c r="R346" s="600"/>
      <c r="S346" s="601"/>
      <c r="T346" s="601"/>
      <c r="U346" s="602"/>
      <c r="V346" s="600"/>
      <c r="W346" s="601"/>
      <c r="X346" s="602"/>
      <c r="Y346" s="606"/>
      <c r="Z346" s="607"/>
      <c r="AA346" s="607"/>
      <c r="AB346" s="607"/>
      <c r="AC346" s="607"/>
      <c r="AD346" s="608"/>
    </row>
    <row r="347" spans="2:30" ht="13.05" customHeight="1">
      <c r="B347" s="609"/>
      <c r="C347" s="609"/>
      <c r="D347" s="609"/>
      <c r="E347" s="598"/>
      <c r="F347" s="598"/>
      <c r="G347" s="598"/>
      <c r="H347" s="598"/>
      <c r="I347" s="598"/>
      <c r="J347" s="598"/>
      <c r="K347" s="598"/>
      <c r="L347" s="599"/>
      <c r="M347" s="599"/>
      <c r="N347" s="568"/>
      <c r="O347" s="569"/>
      <c r="P347" s="569"/>
      <c r="Q347" s="570"/>
      <c r="R347" s="568"/>
      <c r="S347" s="569"/>
      <c r="T347" s="569"/>
      <c r="U347" s="570"/>
      <c r="V347" s="568"/>
      <c r="W347" s="569"/>
      <c r="X347" s="570"/>
      <c r="Y347" s="574"/>
      <c r="Z347" s="575"/>
      <c r="AA347" s="575"/>
      <c r="AB347" s="575"/>
      <c r="AC347" s="575"/>
      <c r="AD347" s="576"/>
    </row>
    <row r="348" spans="2:30" ht="13.05" customHeight="1">
      <c r="B348" s="609"/>
      <c r="C348" s="609"/>
      <c r="D348" s="609"/>
      <c r="E348" s="598"/>
      <c r="F348" s="598"/>
      <c r="G348" s="598"/>
      <c r="H348" s="598"/>
      <c r="I348" s="598"/>
      <c r="J348" s="598"/>
      <c r="K348" s="598"/>
      <c r="L348" s="599"/>
      <c r="M348" s="599"/>
      <c r="N348" s="600"/>
      <c r="O348" s="601"/>
      <c r="P348" s="601"/>
      <c r="Q348" s="602"/>
      <c r="R348" s="600"/>
      <c r="S348" s="601"/>
      <c r="T348" s="601"/>
      <c r="U348" s="602"/>
      <c r="V348" s="600"/>
      <c r="W348" s="601"/>
      <c r="X348" s="602"/>
      <c r="Y348" s="606"/>
      <c r="Z348" s="607"/>
      <c r="AA348" s="607"/>
      <c r="AB348" s="607"/>
      <c r="AC348" s="607"/>
      <c r="AD348" s="608"/>
    </row>
    <row r="349" spans="2:30" ht="13.05" customHeight="1">
      <c r="B349" s="609"/>
      <c r="C349" s="609"/>
      <c r="D349" s="609"/>
      <c r="E349" s="598"/>
      <c r="F349" s="598"/>
      <c r="G349" s="598"/>
      <c r="H349" s="598"/>
      <c r="I349" s="598"/>
      <c r="J349" s="598"/>
      <c r="K349" s="598"/>
      <c r="L349" s="599"/>
      <c r="M349" s="599"/>
      <c r="N349" s="568"/>
      <c r="O349" s="569"/>
      <c r="P349" s="569"/>
      <c r="Q349" s="570"/>
      <c r="R349" s="568"/>
      <c r="S349" s="569"/>
      <c r="T349" s="569"/>
      <c r="U349" s="570"/>
      <c r="V349" s="568"/>
      <c r="W349" s="569"/>
      <c r="X349" s="570"/>
      <c r="Y349" s="574"/>
      <c r="Z349" s="575"/>
      <c r="AA349" s="575"/>
      <c r="AB349" s="575"/>
      <c r="AC349" s="575"/>
      <c r="AD349" s="576"/>
    </row>
    <row r="350" spans="2:30" ht="13.05" customHeight="1">
      <c r="B350" s="609"/>
      <c r="C350" s="609"/>
      <c r="D350" s="609"/>
      <c r="E350" s="598"/>
      <c r="F350" s="598"/>
      <c r="G350" s="598"/>
      <c r="H350" s="598"/>
      <c r="I350" s="598"/>
      <c r="J350" s="598"/>
      <c r="K350" s="598"/>
      <c r="L350" s="599"/>
      <c r="M350" s="599"/>
      <c r="N350" s="600"/>
      <c r="O350" s="601"/>
      <c r="P350" s="601"/>
      <c r="Q350" s="602"/>
      <c r="R350" s="600"/>
      <c r="S350" s="601"/>
      <c r="T350" s="601"/>
      <c r="U350" s="602"/>
      <c r="V350" s="600"/>
      <c r="W350" s="601"/>
      <c r="X350" s="602"/>
      <c r="Y350" s="606"/>
      <c r="Z350" s="607"/>
      <c r="AA350" s="607"/>
      <c r="AB350" s="607"/>
      <c r="AC350" s="607"/>
      <c r="AD350" s="608"/>
    </row>
    <row r="351" spans="2:30" ht="13.05" customHeight="1">
      <c r="B351" s="609"/>
      <c r="C351" s="609"/>
      <c r="D351" s="609"/>
      <c r="E351" s="598"/>
      <c r="F351" s="598"/>
      <c r="G351" s="598"/>
      <c r="H351" s="598"/>
      <c r="I351" s="598"/>
      <c r="J351" s="598"/>
      <c r="K351" s="598"/>
      <c r="L351" s="599"/>
      <c r="M351" s="599"/>
      <c r="N351" s="568"/>
      <c r="O351" s="569"/>
      <c r="P351" s="569"/>
      <c r="Q351" s="570"/>
      <c r="R351" s="568"/>
      <c r="S351" s="569"/>
      <c r="T351" s="569"/>
      <c r="U351" s="570"/>
      <c r="V351" s="568"/>
      <c r="W351" s="569"/>
      <c r="X351" s="570"/>
      <c r="Y351" s="574"/>
      <c r="Z351" s="575"/>
      <c r="AA351" s="575"/>
      <c r="AB351" s="575"/>
      <c r="AC351" s="575"/>
      <c r="AD351" s="576"/>
    </row>
    <row r="352" spans="2:30" ht="13.05" customHeight="1">
      <c r="B352" s="609"/>
      <c r="C352" s="609"/>
      <c r="D352" s="609"/>
      <c r="E352" s="652"/>
      <c r="F352" s="652"/>
      <c r="G352" s="652"/>
      <c r="H352" s="652"/>
      <c r="I352" s="652"/>
      <c r="J352" s="652"/>
      <c r="K352" s="652"/>
      <c r="L352" s="599"/>
      <c r="M352" s="599"/>
      <c r="N352" s="600"/>
      <c r="O352" s="601"/>
      <c r="P352" s="601"/>
      <c r="Q352" s="602"/>
      <c r="R352" s="600"/>
      <c r="S352" s="601"/>
      <c r="T352" s="601"/>
      <c r="U352" s="602"/>
      <c r="V352" s="600"/>
      <c r="W352" s="601"/>
      <c r="X352" s="602"/>
      <c r="Y352" s="606"/>
      <c r="Z352" s="607"/>
      <c r="AA352" s="607"/>
      <c r="AB352" s="607"/>
      <c r="AC352" s="607"/>
      <c r="AD352" s="608"/>
    </row>
    <row r="353" spans="2:30" ht="13.05" customHeight="1">
      <c r="B353" s="609"/>
      <c r="C353" s="609"/>
      <c r="D353" s="609"/>
      <c r="E353" s="652"/>
      <c r="F353" s="652"/>
      <c r="G353" s="652"/>
      <c r="H353" s="652"/>
      <c r="I353" s="652"/>
      <c r="J353" s="652"/>
      <c r="K353" s="652"/>
      <c r="L353" s="599"/>
      <c r="M353" s="599"/>
      <c r="N353" s="568"/>
      <c r="O353" s="569"/>
      <c r="P353" s="569"/>
      <c r="Q353" s="570"/>
      <c r="R353" s="568"/>
      <c r="S353" s="569"/>
      <c r="T353" s="569"/>
      <c r="U353" s="570"/>
      <c r="V353" s="568"/>
      <c r="W353" s="569"/>
      <c r="X353" s="570"/>
      <c r="Y353" s="574"/>
      <c r="Z353" s="575"/>
      <c r="AA353" s="575"/>
      <c r="AB353" s="575"/>
      <c r="AC353" s="575"/>
      <c r="AD353" s="576"/>
    </row>
    <row r="354" spans="2:30" ht="13.05" customHeight="1">
      <c r="B354" s="640"/>
      <c r="C354" s="641"/>
      <c r="D354" s="642"/>
      <c r="E354" s="646"/>
      <c r="F354" s="647"/>
      <c r="G354" s="647"/>
      <c r="H354" s="647"/>
      <c r="I354" s="647"/>
      <c r="J354" s="647"/>
      <c r="K354" s="648"/>
      <c r="L354" s="599"/>
      <c r="M354" s="599"/>
      <c r="N354" s="600"/>
      <c r="O354" s="601"/>
      <c r="P354" s="601"/>
      <c r="Q354" s="602"/>
      <c r="R354" s="600"/>
      <c r="S354" s="601"/>
      <c r="T354" s="601"/>
      <c r="U354" s="602"/>
      <c r="V354" s="600"/>
      <c r="W354" s="601"/>
      <c r="X354" s="602"/>
      <c r="Y354" s="606"/>
      <c r="Z354" s="607"/>
      <c r="AA354" s="607"/>
      <c r="AB354" s="607"/>
      <c r="AC354" s="607"/>
      <c r="AD354" s="608"/>
    </row>
    <row r="355" spans="2:30" ht="13.05" customHeight="1">
      <c r="B355" s="643"/>
      <c r="C355" s="644"/>
      <c r="D355" s="645"/>
      <c r="E355" s="649"/>
      <c r="F355" s="650"/>
      <c r="G355" s="650"/>
      <c r="H355" s="650"/>
      <c r="I355" s="650"/>
      <c r="J355" s="650"/>
      <c r="K355" s="651"/>
      <c r="L355" s="599"/>
      <c r="M355" s="599"/>
      <c r="N355" s="568"/>
      <c r="O355" s="569"/>
      <c r="P355" s="569"/>
      <c r="Q355" s="570"/>
      <c r="R355" s="568"/>
      <c r="S355" s="569"/>
      <c r="T355" s="569"/>
      <c r="U355" s="570"/>
      <c r="V355" s="568"/>
      <c r="W355" s="569"/>
      <c r="X355" s="570"/>
      <c r="Y355" s="574"/>
      <c r="Z355" s="575"/>
      <c r="AA355" s="575"/>
      <c r="AB355" s="575"/>
      <c r="AC355" s="575"/>
      <c r="AD355" s="576"/>
    </row>
    <row r="356" spans="2:30" ht="13.05" customHeight="1">
      <c r="B356" s="640"/>
      <c r="C356" s="641"/>
      <c r="D356" s="642"/>
      <c r="E356" s="659"/>
      <c r="F356" s="660"/>
      <c r="G356" s="660"/>
      <c r="H356" s="660"/>
      <c r="I356" s="660"/>
      <c r="J356" s="660"/>
      <c r="K356" s="661"/>
      <c r="L356" s="599"/>
      <c r="M356" s="599"/>
      <c r="N356" s="600"/>
      <c r="O356" s="601"/>
      <c r="P356" s="601"/>
      <c r="Q356" s="602"/>
      <c r="R356" s="600"/>
      <c r="S356" s="601"/>
      <c r="T356" s="601"/>
      <c r="U356" s="602"/>
      <c r="V356" s="600"/>
      <c r="W356" s="601"/>
      <c r="X356" s="602"/>
      <c r="Y356" s="606"/>
      <c r="Z356" s="607"/>
      <c r="AA356" s="607"/>
      <c r="AB356" s="607"/>
      <c r="AC356" s="607"/>
      <c r="AD356" s="608"/>
    </row>
    <row r="357" spans="2:30" ht="13.05" customHeight="1">
      <c r="B357" s="643"/>
      <c r="C357" s="644"/>
      <c r="D357" s="645"/>
      <c r="E357" s="662"/>
      <c r="F357" s="663"/>
      <c r="G357" s="663"/>
      <c r="H357" s="663"/>
      <c r="I357" s="663"/>
      <c r="J357" s="663"/>
      <c r="K357" s="664"/>
      <c r="L357" s="599"/>
      <c r="M357" s="599"/>
      <c r="N357" s="568"/>
      <c r="O357" s="569"/>
      <c r="P357" s="569"/>
      <c r="Q357" s="570"/>
      <c r="R357" s="568"/>
      <c r="S357" s="569"/>
      <c r="T357" s="569"/>
      <c r="U357" s="570"/>
      <c r="V357" s="568"/>
      <c r="W357" s="569"/>
      <c r="X357" s="570"/>
      <c r="Y357" s="574"/>
      <c r="Z357" s="575"/>
      <c r="AA357" s="575"/>
      <c r="AB357" s="575"/>
      <c r="AC357" s="575"/>
      <c r="AD357" s="576"/>
    </row>
    <row r="358" spans="2:30" ht="13.05" customHeight="1">
      <c r="B358" s="640"/>
      <c r="C358" s="641"/>
      <c r="D358" s="642"/>
      <c r="E358" s="653"/>
      <c r="F358" s="654"/>
      <c r="G358" s="654"/>
      <c r="H358" s="654"/>
      <c r="I358" s="654"/>
      <c r="J358" s="654"/>
      <c r="K358" s="655"/>
      <c r="L358" s="599"/>
      <c r="M358" s="599"/>
      <c r="N358" s="600"/>
      <c r="O358" s="601"/>
      <c r="P358" s="601"/>
      <c r="Q358" s="602"/>
      <c r="R358" s="600"/>
      <c r="S358" s="601"/>
      <c r="T358" s="601"/>
      <c r="U358" s="602"/>
      <c r="V358" s="600"/>
      <c r="W358" s="601"/>
      <c r="X358" s="602"/>
      <c r="Y358" s="606"/>
      <c r="Z358" s="607"/>
      <c r="AA358" s="607"/>
      <c r="AB358" s="607"/>
      <c r="AC358" s="607"/>
      <c r="AD358" s="608"/>
    </row>
    <row r="359" spans="2:30" ht="13.05" customHeight="1">
      <c r="B359" s="643"/>
      <c r="C359" s="644"/>
      <c r="D359" s="645"/>
      <c r="E359" s="656"/>
      <c r="F359" s="657"/>
      <c r="G359" s="657"/>
      <c r="H359" s="657"/>
      <c r="I359" s="657"/>
      <c r="J359" s="657"/>
      <c r="K359" s="658"/>
      <c r="L359" s="599"/>
      <c r="M359" s="599"/>
      <c r="N359" s="568"/>
      <c r="O359" s="569"/>
      <c r="P359" s="569"/>
      <c r="Q359" s="570"/>
      <c r="R359" s="568"/>
      <c r="S359" s="569"/>
      <c r="T359" s="569"/>
      <c r="U359" s="570"/>
      <c r="V359" s="568"/>
      <c r="W359" s="569"/>
      <c r="X359" s="570"/>
      <c r="Y359" s="574"/>
      <c r="Z359" s="575"/>
      <c r="AA359" s="575"/>
      <c r="AB359" s="575"/>
      <c r="AC359" s="575"/>
      <c r="AD359" s="576"/>
    </row>
    <row r="360" spans="2:30" ht="13.05" customHeight="1">
      <c r="B360" s="640"/>
      <c r="C360" s="641"/>
      <c r="D360" s="642"/>
      <c r="E360" s="653"/>
      <c r="F360" s="654"/>
      <c r="G360" s="654"/>
      <c r="H360" s="654"/>
      <c r="I360" s="654"/>
      <c r="J360" s="654"/>
      <c r="K360" s="655"/>
      <c r="L360" s="599"/>
      <c r="M360" s="599"/>
      <c r="N360" s="600"/>
      <c r="O360" s="601"/>
      <c r="P360" s="601"/>
      <c r="Q360" s="602"/>
      <c r="R360" s="600"/>
      <c r="S360" s="601"/>
      <c r="T360" s="601"/>
      <c r="U360" s="602"/>
      <c r="V360" s="600"/>
      <c r="W360" s="601"/>
      <c r="X360" s="602"/>
      <c r="Y360" s="606"/>
      <c r="Z360" s="607"/>
      <c r="AA360" s="607"/>
      <c r="AB360" s="607"/>
      <c r="AC360" s="607"/>
      <c r="AD360" s="608"/>
    </row>
    <row r="361" spans="2:30" ht="13.05" customHeight="1">
      <c r="B361" s="643"/>
      <c r="C361" s="644"/>
      <c r="D361" s="645"/>
      <c r="E361" s="656"/>
      <c r="F361" s="657"/>
      <c r="G361" s="657"/>
      <c r="H361" s="657"/>
      <c r="I361" s="657"/>
      <c r="J361" s="657"/>
      <c r="K361" s="658"/>
      <c r="L361" s="599"/>
      <c r="M361" s="599"/>
      <c r="N361" s="568"/>
      <c r="O361" s="569"/>
      <c r="P361" s="569"/>
      <c r="Q361" s="570"/>
      <c r="R361" s="568"/>
      <c r="S361" s="569"/>
      <c r="T361" s="569"/>
      <c r="U361" s="570"/>
      <c r="V361" s="568"/>
      <c r="W361" s="569"/>
      <c r="X361" s="570"/>
      <c r="Y361" s="574"/>
      <c r="Z361" s="575"/>
      <c r="AA361" s="575"/>
      <c r="AB361" s="575"/>
      <c r="AC361" s="575"/>
      <c r="AD361" s="576"/>
    </row>
    <row r="362" spans="2:30" ht="13.05" customHeight="1">
      <c r="B362" s="640"/>
      <c r="C362" s="641"/>
      <c r="D362" s="642"/>
      <c r="E362" s="610"/>
      <c r="F362" s="611"/>
      <c r="G362" s="611"/>
      <c r="H362" s="611"/>
      <c r="I362" s="611"/>
      <c r="J362" s="611"/>
      <c r="K362" s="612"/>
      <c r="L362" s="599"/>
      <c r="M362" s="599"/>
      <c r="N362" s="600"/>
      <c r="O362" s="601"/>
      <c r="P362" s="601"/>
      <c r="Q362" s="602"/>
      <c r="R362" s="600"/>
      <c r="S362" s="601"/>
      <c r="T362" s="601"/>
      <c r="U362" s="602"/>
      <c r="V362" s="600"/>
      <c r="W362" s="601"/>
      <c r="X362" s="602"/>
      <c r="Y362" s="606"/>
      <c r="Z362" s="607"/>
      <c r="AA362" s="607"/>
      <c r="AB362" s="607"/>
      <c r="AC362" s="607"/>
      <c r="AD362" s="608"/>
    </row>
    <row r="363" spans="2:30" ht="13.05" customHeight="1">
      <c r="B363" s="643"/>
      <c r="C363" s="644"/>
      <c r="D363" s="645"/>
      <c r="E363" s="613"/>
      <c r="F363" s="614"/>
      <c r="G363" s="614"/>
      <c r="H363" s="614"/>
      <c r="I363" s="614"/>
      <c r="J363" s="614"/>
      <c r="K363" s="615"/>
      <c r="L363" s="599"/>
      <c r="M363" s="599"/>
      <c r="N363" s="568"/>
      <c r="O363" s="569"/>
      <c r="P363" s="569"/>
      <c r="Q363" s="570"/>
      <c r="R363" s="568"/>
      <c r="S363" s="569"/>
      <c r="T363" s="569"/>
      <c r="U363" s="570"/>
      <c r="V363" s="568"/>
      <c r="W363" s="569"/>
      <c r="X363" s="570"/>
      <c r="Y363" s="574"/>
      <c r="Z363" s="575"/>
      <c r="AA363" s="575"/>
      <c r="AB363" s="575"/>
      <c r="AC363" s="575"/>
      <c r="AD363" s="576"/>
    </row>
    <row r="364" spans="2:30">
      <c r="C364" s="22" t="str">
        <f>IF($C$72="","",$C$72)</f>
        <v>(様式-販売-１)Rev.2025.09.12</v>
      </c>
      <c r="Y364" s="458" t="str">
        <f>IF($Y$72="","",$Y$72)</f>
        <v>昭石化工株式会社</v>
      </c>
      <c r="Z364" s="458"/>
      <c r="AA364" s="458"/>
      <c r="AB364" s="458"/>
      <c r="AC364" s="458"/>
      <c r="AD364" s="458"/>
    </row>
    <row r="365" spans="2:30">
      <c r="B365" s="22" t="str">
        <f>IF($B$73="","",$B$73)</f>
        <v>販売現業所→カスタマーセンター→四日市工場</v>
      </c>
      <c r="Y365" s="459"/>
      <c r="Z365" s="459"/>
      <c r="AA365" s="459"/>
      <c r="AB365" s="459"/>
      <c r="AC365" s="459"/>
      <c r="AD365" s="459"/>
    </row>
  </sheetData>
  <sheetProtection selectLockedCells="1"/>
  <mergeCells count="1081">
    <mergeCell ref="L318:M319"/>
    <mergeCell ref="N318:Q319"/>
    <mergeCell ref="R318:U319"/>
    <mergeCell ref="V318:X319"/>
    <mergeCell ref="Y318:AD319"/>
    <mergeCell ref="M6:N8"/>
    <mergeCell ref="L289:M290"/>
    <mergeCell ref="N289:Q290"/>
    <mergeCell ref="R289:U290"/>
    <mergeCell ref="V289:X290"/>
    <mergeCell ref="B2:E2"/>
    <mergeCell ref="B75:E75"/>
    <mergeCell ref="B148:E148"/>
    <mergeCell ref="B221:E221"/>
    <mergeCell ref="B294:E294"/>
    <mergeCell ref="B318:D319"/>
    <mergeCell ref="E318:K319"/>
    <mergeCell ref="B289:D290"/>
    <mergeCell ref="E289:K290"/>
    <mergeCell ref="B279:D280"/>
    <mergeCell ref="Y285:AD286"/>
    <mergeCell ref="B287:D288"/>
    <mergeCell ref="E287:K288"/>
    <mergeCell ref="L287:M288"/>
    <mergeCell ref="N287:Q288"/>
    <mergeCell ref="R287:U288"/>
    <mergeCell ref="V287:X288"/>
    <mergeCell ref="Y287:AD288"/>
    <mergeCell ref="Y289:AD290"/>
    <mergeCell ref="Y291:AD292"/>
    <mergeCell ref="B150:M151"/>
    <mergeCell ref="Y283:AD284"/>
    <mergeCell ref="B285:D286"/>
    <mergeCell ref="E285:K286"/>
    <mergeCell ref="L285:M286"/>
    <mergeCell ref="N285:Q286"/>
    <mergeCell ref="R285:U286"/>
    <mergeCell ref="V285:X286"/>
    <mergeCell ref="B271:D272"/>
    <mergeCell ref="E271:K272"/>
    <mergeCell ref="L271:M272"/>
    <mergeCell ref="N271:Q272"/>
    <mergeCell ref="R271:U272"/>
    <mergeCell ref="V271:X272"/>
    <mergeCell ref="Y267:AD268"/>
    <mergeCell ref="B269:D270"/>
    <mergeCell ref="E269:K270"/>
    <mergeCell ref="L269:M270"/>
    <mergeCell ref="N269:Q270"/>
    <mergeCell ref="R269:U270"/>
    <mergeCell ref="V269:X270"/>
    <mergeCell ref="Y269:AD270"/>
    <mergeCell ref="B267:D268"/>
    <mergeCell ref="E267:K268"/>
    <mergeCell ref="E279:K280"/>
    <mergeCell ref="L279:M280"/>
    <mergeCell ref="N279:Q280"/>
    <mergeCell ref="R279:U280"/>
    <mergeCell ref="V279:X280"/>
    <mergeCell ref="Y279:AD280"/>
    <mergeCell ref="Y275:AD276"/>
    <mergeCell ref="B277:D278"/>
    <mergeCell ref="E277:K278"/>
    <mergeCell ref="L277:M278"/>
    <mergeCell ref="N277:Q278"/>
    <mergeCell ref="R277:U278"/>
    <mergeCell ref="V277:X278"/>
    <mergeCell ref="Y277:AD278"/>
    <mergeCell ref="V245:X246"/>
    <mergeCell ref="Y245:AD246"/>
    <mergeCell ref="E255:K256"/>
    <mergeCell ref="L255:M256"/>
    <mergeCell ref="N255:Q256"/>
    <mergeCell ref="R255:U256"/>
    <mergeCell ref="V255:X256"/>
    <mergeCell ref="Y255:AD256"/>
    <mergeCell ref="Y263:AD264"/>
    <mergeCell ref="Y251:AD252"/>
    <mergeCell ref="B253:D254"/>
    <mergeCell ref="E253:K254"/>
    <mergeCell ref="L253:M254"/>
    <mergeCell ref="N253:Q254"/>
    <mergeCell ref="R253:U254"/>
    <mergeCell ref="V253:X254"/>
    <mergeCell ref="Y253:AD254"/>
    <mergeCell ref="B255:D256"/>
    <mergeCell ref="B263:D264"/>
    <mergeCell ref="E263:K264"/>
    <mergeCell ref="L263:M264"/>
    <mergeCell ref="N263:Q264"/>
    <mergeCell ref="R263:U264"/>
    <mergeCell ref="V263:X264"/>
    <mergeCell ref="L261:M262"/>
    <mergeCell ref="N261:Q262"/>
    <mergeCell ref="R261:U262"/>
    <mergeCell ref="V261:X262"/>
    <mergeCell ref="E273:K274"/>
    <mergeCell ref="L273:M274"/>
    <mergeCell ref="Y261:AD262"/>
    <mergeCell ref="G221:I221"/>
    <mergeCell ref="AC221:AD221"/>
    <mergeCell ref="Q223:R224"/>
    <mergeCell ref="S223:U224"/>
    <mergeCell ref="V223:X223"/>
    <mergeCell ref="Y223:AA224"/>
    <mergeCell ref="AB223:AD224"/>
    <mergeCell ref="V224:X224"/>
    <mergeCell ref="B223:M224"/>
    <mergeCell ref="Y239:AD240"/>
    <mergeCell ref="B241:D242"/>
    <mergeCell ref="E241:K242"/>
    <mergeCell ref="L241:M242"/>
    <mergeCell ref="N241:Q242"/>
    <mergeCell ref="R241:U242"/>
    <mergeCell ref="V241:X242"/>
    <mergeCell ref="Y241:AD242"/>
    <mergeCell ref="R237:U238"/>
    <mergeCell ref="V237:X238"/>
    <mergeCell ref="Y237:AD238"/>
    <mergeCell ref="B239:D240"/>
    <mergeCell ref="E239:K240"/>
    <mergeCell ref="L239:M240"/>
    <mergeCell ref="N239:Q240"/>
    <mergeCell ref="R239:U240"/>
    <mergeCell ref="V239:X240"/>
    <mergeCell ref="Y225:AA227"/>
    <mergeCell ref="AB225:AD227"/>
    <mergeCell ref="E249:K250"/>
    <mergeCell ref="B265:D266"/>
    <mergeCell ref="B225:H227"/>
    <mergeCell ref="I225:I227"/>
    <mergeCell ref="J225:K227"/>
    <mergeCell ref="L225:L227"/>
    <mergeCell ref="S225:U227"/>
    <mergeCell ref="V225:X227"/>
    <mergeCell ref="Q226:R227"/>
    <mergeCell ref="Y247:AD248"/>
    <mergeCell ref="B247:D248"/>
    <mergeCell ref="E247:K248"/>
    <mergeCell ref="L247:M248"/>
    <mergeCell ref="N247:Q248"/>
    <mergeCell ref="R247:U248"/>
    <mergeCell ref="V247:X248"/>
    <mergeCell ref="B257:D258"/>
    <mergeCell ref="E257:K258"/>
    <mergeCell ref="Y243:AD244"/>
    <mergeCell ref="B245:D246"/>
    <mergeCell ref="E245:K246"/>
    <mergeCell ref="L245:M246"/>
    <mergeCell ref="N245:Q246"/>
    <mergeCell ref="R245:U246"/>
    <mergeCell ref="L249:M250"/>
    <mergeCell ref="R283:U284"/>
    <mergeCell ref="V283:X284"/>
    <mergeCell ref="N249:Q250"/>
    <mergeCell ref="R249:U250"/>
    <mergeCell ref="V249:X250"/>
    <mergeCell ref="Y249:AD250"/>
    <mergeCell ref="B251:D252"/>
    <mergeCell ref="E251:K252"/>
    <mergeCell ref="L251:M252"/>
    <mergeCell ref="N251:Q252"/>
    <mergeCell ref="R251:U252"/>
    <mergeCell ref="V251:X252"/>
    <mergeCell ref="E265:K266"/>
    <mergeCell ref="L265:M266"/>
    <mergeCell ref="N265:Q266"/>
    <mergeCell ref="R265:U266"/>
    <mergeCell ref="V265:X266"/>
    <mergeCell ref="Y265:AD266"/>
    <mergeCell ref="Y271:AD272"/>
    <mergeCell ref="L267:M268"/>
    <mergeCell ref="N267:Q268"/>
    <mergeCell ref="R267:U268"/>
    <mergeCell ref="V267:X268"/>
    <mergeCell ref="V259:X260"/>
    <mergeCell ref="B249:D250"/>
    <mergeCell ref="B281:D282"/>
    <mergeCell ref="E281:K282"/>
    <mergeCell ref="L281:M282"/>
    <mergeCell ref="N281:Q282"/>
    <mergeCell ref="R281:U282"/>
    <mergeCell ref="V281:X282"/>
    <mergeCell ref="Y281:AD282"/>
    <mergeCell ref="Y364:AD365"/>
    <mergeCell ref="L237:M238"/>
    <mergeCell ref="N237:Q238"/>
    <mergeCell ref="L257:M258"/>
    <mergeCell ref="N257:Q258"/>
    <mergeCell ref="R257:U258"/>
    <mergeCell ref="V257:X258"/>
    <mergeCell ref="V243:X244"/>
    <mergeCell ref="B233:K236"/>
    <mergeCell ref="L233:M236"/>
    <mergeCell ref="N233:U234"/>
    <mergeCell ref="V233:X236"/>
    <mergeCell ref="Y233:AD236"/>
    <mergeCell ref="N235:Q236"/>
    <mergeCell ref="R235:U236"/>
    <mergeCell ref="B237:D238"/>
    <mergeCell ref="E237:K238"/>
    <mergeCell ref="B356:D357"/>
    <mergeCell ref="B243:D244"/>
    <mergeCell ref="E243:K244"/>
    <mergeCell ref="L243:M244"/>
    <mergeCell ref="N243:Q244"/>
    <mergeCell ref="R243:U244"/>
    <mergeCell ref="L352:M353"/>
    <mergeCell ref="N352:Q353"/>
    <mergeCell ref="R352:U353"/>
    <mergeCell ref="B348:D349"/>
    <mergeCell ref="Y360:AD361"/>
    <mergeCell ref="B362:D363"/>
    <mergeCell ref="E362:K363"/>
    <mergeCell ref="L362:M363"/>
    <mergeCell ref="N362:Q363"/>
    <mergeCell ref="R362:U363"/>
    <mergeCell ref="V362:X363"/>
    <mergeCell ref="Y362:AD363"/>
    <mergeCell ref="B360:D361"/>
    <mergeCell ref="B358:D359"/>
    <mergeCell ref="E358:K359"/>
    <mergeCell ref="L358:M359"/>
    <mergeCell ref="N358:Q359"/>
    <mergeCell ref="R358:U359"/>
    <mergeCell ref="V358:X359"/>
    <mergeCell ref="Y358:AD359"/>
    <mergeCell ref="R348:U349"/>
    <mergeCell ref="V348:X349"/>
    <mergeCell ref="N344:Q345"/>
    <mergeCell ref="R344:U345"/>
    <mergeCell ref="V344:X345"/>
    <mergeCell ref="B346:D347"/>
    <mergeCell ref="E346:K347"/>
    <mergeCell ref="L346:M347"/>
    <mergeCell ref="N346:Q347"/>
    <mergeCell ref="E360:K361"/>
    <mergeCell ref="L360:M361"/>
    <mergeCell ref="N360:Q361"/>
    <mergeCell ref="R360:U361"/>
    <mergeCell ref="V360:X361"/>
    <mergeCell ref="E356:K357"/>
    <mergeCell ref="L356:M357"/>
    <mergeCell ref="N356:Q357"/>
    <mergeCell ref="R356:U357"/>
    <mergeCell ref="V356:X357"/>
    <mergeCell ref="V352:X353"/>
    <mergeCell ref="R346:U347"/>
    <mergeCell ref="V346:X347"/>
    <mergeCell ref="Y340:AD341"/>
    <mergeCell ref="B342:D343"/>
    <mergeCell ref="E342:K343"/>
    <mergeCell ref="L342:M343"/>
    <mergeCell ref="N342:Q343"/>
    <mergeCell ref="R342:U343"/>
    <mergeCell ref="V342:X343"/>
    <mergeCell ref="Y342:AD343"/>
    <mergeCell ref="B340:D341"/>
    <mergeCell ref="E340:K341"/>
    <mergeCell ref="Y356:AD357"/>
    <mergeCell ref="Y348:AD349"/>
    <mergeCell ref="B350:D351"/>
    <mergeCell ref="E350:K351"/>
    <mergeCell ref="L350:M351"/>
    <mergeCell ref="N350:Q351"/>
    <mergeCell ref="R350:U351"/>
    <mergeCell ref="V350:X351"/>
    <mergeCell ref="Y350:AD351"/>
    <mergeCell ref="Y352:AD353"/>
    <mergeCell ref="B354:D355"/>
    <mergeCell ref="E354:K355"/>
    <mergeCell ref="L354:M355"/>
    <mergeCell ref="N354:Q355"/>
    <mergeCell ref="R354:U355"/>
    <mergeCell ref="V354:X355"/>
    <mergeCell ref="Y354:AD355"/>
    <mergeCell ref="B352:D353"/>
    <mergeCell ref="E352:K353"/>
    <mergeCell ref="E348:K349"/>
    <mergeCell ref="L348:M349"/>
    <mergeCell ref="N348:Q349"/>
    <mergeCell ref="Y344:AD345"/>
    <mergeCell ref="Y346:AD347"/>
    <mergeCell ref="B344:D345"/>
    <mergeCell ref="E344:K345"/>
    <mergeCell ref="L344:M345"/>
    <mergeCell ref="B334:D335"/>
    <mergeCell ref="E334:K335"/>
    <mergeCell ref="L334:M335"/>
    <mergeCell ref="N334:Q335"/>
    <mergeCell ref="R334:U335"/>
    <mergeCell ref="V334:X335"/>
    <mergeCell ref="Y334:AD335"/>
    <mergeCell ref="B332:D333"/>
    <mergeCell ref="E332:K333"/>
    <mergeCell ref="V338:X339"/>
    <mergeCell ref="Y338:AD339"/>
    <mergeCell ref="B336:D337"/>
    <mergeCell ref="E336:K337"/>
    <mergeCell ref="L336:M337"/>
    <mergeCell ref="N336:Q337"/>
    <mergeCell ref="R336:U337"/>
    <mergeCell ref="V336:X337"/>
    <mergeCell ref="L340:M341"/>
    <mergeCell ref="N340:Q341"/>
    <mergeCell ref="R340:U341"/>
    <mergeCell ref="V340:X341"/>
    <mergeCell ref="Y336:AD337"/>
    <mergeCell ref="B338:D339"/>
    <mergeCell ref="E338:K339"/>
    <mergeCell ref="L338:M339"/>
    <mergeCell ref="N338:Q339"/>
    <mergeCell ref="R338:U339"/>
    <mergeCell ref="V330:X331"/>
    <mergeCell ref="Y330:AD331"/>
    <mergeCell ref="B328:D329"/>
    <mergeCell ref="E328:K329"/>
    <mergeCell ref="L328:M329"/>
    <mergeCell ref="N328:Q329"/>
    <mergeCell ref="R328:U329"/>
    <mergeCell ref="V328:X329"/>
    <mergeCell ref="L332:M333"/>
    <mergeCell ref="N332:Q333"/>
    <mergeCell ref="R332:U333"/>
    <mergeCell ref="V332:X333"/>
    <mergeCell ref="Y328:AD329"/>
    <mergeCell ref="B330:D331"/>
    <mergeCell ref="E330:K331"/>
    <mergeCell ref="L330:M331"/>
    <mergeCell ref="N330:Q331"/>
    <mergeCell ref="R330:U331"/>
    <mergeCell ref="Y332:AD333"/>
    <mergeCell ref="B320:D321"/>
    <mergeCell ref="E320:K321"/>
    <mergeCell ref="L320:M321"/>
    <mergeCell ref="N320:Q321"/>
    <mergeCell ref="R320:U321"/>
    <mergeCell ref="V320:X321"/>
    <mergeCell ref="B326:D327"/>
    <mergeCell ref="E326:K327"/>
    <mergeCell ref="Y320:AD321"/>
    <mergeCell ref="B322:D323"/>
    <mergeCell ref="E322:K323"/>
    <mergeCell ref="L322:M323"/>
    <mergeCell ref="N322:Q323"/>
    <mergeCell ref="R322:U323"/>
    <mergeCell ref="V322:X323"/>
    <mergeCell ref="Y322:AD323"/>
    <mergeCell ref="B324:D325"/>
    <mergeCell ref="E324:K325"/>
    <mergeCell ref="L324:M325"/>
    <mergeCell ref="N324:Q325"/>
    <mergeCell ref="R324:U325"/>
    <mergeCell ref="V324:X325"/>
    <mergeCell ref="Y324:AD325"/>
    <mergeCell ref="L326:M327"/>
    <mergeCell ref="N326:Q327"/>
    <mergeCell ref="R326:U327"/>
    <mergeCell ref="V326:X327"/>
    <mergeCell ref="Y326:AD327"/>
    <mergeCell ref="E314:K315"/>
    <mergeCell ref="L314:M315"/>
    <mergeCell ref="N314:Q315"/>
    <mergeCell ref="R314:U315"/>
    <mergeCell ref="V314:X315"/>
    <mergeCell ref="R308:U309"/>
    <mergeCell ref="L310:M311"/>
    <mergeCell ref="N310:Q311"/>
    <mergeCell ref="R310:U311"/>
    <mergeCell ref="Y312:AD313"/>
    <mergeCell ref="Y314:AD315"/>
    <mergeCell ref="B316:D317"/>
    <mergeCell ref="E316:K317"/>
    <mergeCell ref="L316:M317"/>
    <mergeCell ref="N316:Q317"/>
    <mergeCell ref="R316:U317"/>
    <mergeCell ref="V316:X317"/>
    <mergeCell ref="Y316:AD317"/>
    <mergeCell ref="B314:D315"/>
    <mergeCell ref="B312:D313"/>
    <mergeCell ref="E312:K313"/>
    <mergeCell ref="L312:M313"/>
    <mergeCell ref="N312:Q313"/>
    <mergeCell ref="R312:U313"/>
    <mergeCell ref="V312:X313"/>
    <mergeCell ref="B310:D311"/>
    <mergeCell ref="E310:K311"/>
    <mergeCell ref="N308:Q309"/>
    <mergeCell ref="I298:I300"/>
    <mergeCell ref="J298:K300"/>
    <mergeCell ref="L298:L300"/>
    <mergeCell ref="S298:U300"/>
    <mergeCell ref="V310:X311"/>
    <mergeCell ref="Y310:AD311"/>
    <mergeCell ref="V298:X300"/>
    <mergeCell ref="Y298:AA300"/>
    <mergeCell ref="AB298:AD300"/>
    <mergeCell ref="Q299:R300"/>
    <mergeCell ref="B306:K309"/>
    <mergeCell ref="L306:M309"/>
    <mergeCell ref="N306:U307"/>
    <mergeCell ref="V306:X309"/>
    <mergeCell ref="Y306:AD309"/>
    <mergeCell ref="B298:H300"/>
    <mergeCell ref="Y257:AD258"/>
    <mergeCell ref="B259:D260"/>
    <mergeCell ref="E259:K260"/>
    <mergeCell ref="Y259:AD260"/>
    <mergeCell ref="B261:D262"/>
    <mergeCell ref="E261:K262"/>
    <mergeCell ref="L259:M260"/>
    <mergeCell ref="N259:Q260"/>
    <mergeCell ref="R259:U260"/>
    <mergeCell ref="N273:Q274"/>
    <mergeCell ref="R273:U274"/>
    <mergeCell ref="V273:X274"/>
    <mergeCell ref="B283:D284"/>
    <mergeCell ref="E283:K284"/>
    <mergeCell ref="L283:M284"/>
    <mergeCell ref="N283:Q284"/>
    <mergeCell ref="Y216:AD217"/>
    <mergeCell ref="B214:D215"/>
    <mergeCell ref="E214:K215"/>
    <mergeCell ref="L214:M215"/>
    <mergeCell ref="N214:Q215"/>
    <mergeCell ref="R214:U215"/>
    <mergeCell ref="V214:X215"/>
    <mergeCell ref="V296:X296"/>
    <mergeCell ref="V297:X297"/>
    <mergeCell ref="B296:M297"/>
    <mergeCell ref="Y214:AD215"/>
    <mergeCell ref="B216:D217"/>
    <mergeCell ref="E216:K217"/>
    <mergeCell ref="L216:M217"/>
    <mergeCell ref="N216:Q217"/>
    <mergeCell ref="R216:U217"/>
    <mergeCell ref="V216:X217"/>
    <mergeCell ref="Y273:AD274"/>
    <mergeCell ref="B275:D276"/>
    <mergeCell ref="E275:K276"/>
    <mergeCell ref="L275:M276"/>
    <mergeCell ref="N275:Q276"/>
    <mergeCell ref="R275:U276"/>
    <mergeCell ref="V275:X276"/>
    <mergeCell ref="B273:D274"/>
    <mergeCell ref="Y218:AD219"/>
    <mergeCell ref="G294:I294"/>
    <mergeCell ref="AC294:AD294"/>
    <mergeCell ref="Q296:R297"/>
    <mergeCell ref="S296:U297"/>
    <mergeCell ref="Y296:AA297"/>
    <mergeCell ref="AB296:AD297"/>
    <mergeCell ref="L210:M211"/>
    <mergeCell ref="N210:Q211"/>
    <mergeCell ref="R210:U211"/>
    <mergeCell ref="V210:X211"/>
    <mergeCell ref="Y206:AD207"/>
    <mergeCell ref="B208:D209"/>
    <mergeCell ref="E208:K209"/>
    <mergeCell ref="L208:M209"/>
    <mergeCell ref="N208:Q209"/>
    <mergeCell ref="R208:U209"/>
    <mergeCell ref="Y210:AD211"/>
    <mergeCell ref="B212:D213"/>
    <mergeCell ref="E212:K213"/>
    <mergeCell ref="L212:M213"/>
    <mergeCell ref="N212:Q213"/>
    <mergeCell ref="R212:U213"/>
    <mergeCell ref="V212:X213"/>
    <mergeCell ref="Y212:AD213"/>
    <mergeCell ref="B210:D211"/>
    <mergeCell ref="E210:K211"/>
    <mergeCell ref="B204:D205"/>
    <mergeCell ref="E204:K205"/>
    <mergeCell ref="L204:M205"/>
    <mergeCell ref="N204:Q205"/>
    <mergeCell ref="R204:U205"/>
    <mergeCell ref="V204:X205"/>
    <mergeCell ref="Y204:AD205"/>
    <mergeCell ref="B202:D203"/>
    <mergeCell ref="E202:K203"/>
    <mergeCell ref="V208:X209"/>
    <mergeCell ref="Y208:AD209"/>
    <mergeCell ref="B206:D207"/>
    <mergeCell ref="E206:K207"/>
    <mergeCell ref="L206:M207"/>
    <mergeCell ref="N206:Q207"/>
    <mergeCell ref="R206:U207"/>
    <mergeCell ref="V206:X207"/>
    <mergeCell ref="V200:X201"/>
    <mergeCell ref="Y200:AD201"/>
    <mergeCell ref="B198:D199"/>
    <mergeCell ref="E198:K199"/>
    <mergeCell ref="L198:M199"/>
    <mergeCell ref="N198:Q199"/>
    <mergeCell ref="R198:U199"/>
    <mergeCell ref="V198:X199"/>
    <mergeCell ref="L202:M203"/>
    <mergeCell ref="N202:Q203"/>
    <mergeCell ref="R202:U203"/>
    <mergeCell ref="V202:X203"/>
    <mergeCell ref="Y198:AD199"/>
    <mergeCell ref="B200:D201"/>
    <mergeCell ref="E200:K201"/>
    <mergeCell ref="L200:M201"/>
    <mergeCell ref="N200:Q201"/>
    <mergeCell ref="R200:U201"/>
    <mergeCell ref="Y202:AD203"/>
    <mergeCell ref="L194:M195"/>
    <mergeCell ref="N194:Q195"/>
    <mergeCell ref="R194:U195"/>
    <mergeCell ref="V194:X195"/>
    <mergeCell ref="Y190:AD191"/>
    <mergeCell ref="B192:D193"/>
    <mergeCell ref="E192:K193"/>
    <mergeCell ref="L192:M193"/>
    <mergeCell ref="N192:Q193"/>
    <mergeCell ref="R192:U193"/>
    <mergeCell ref="Y194:AD195"/>
    <mergeCell ref="B196:D197"/>
    <mergeCell ref="E196:K197"/>
    <mergeCell ref="L196:M197"/>
    <mergeCell ref="N196:Q197"/>
    <mergeCell ref="R196:U197"/>
    <mergeCell ref="V196:X197"/>
    <mergeCell ref="Y196:AD197"/>
    <mergeCell ref="B194:D195"/>
    <mergeCell ref="E194:K195"/>
    <mergeCell ref="B188:D189"/>
    <mergeCell ref="E188:K189"/>
    <mergeCell ref="L188:M189"/>
    <mergeCell ref="N188:Q189"/>
    <mergeCell ref="R188:U189"/>
    <mergeCell ref="V188:X189"/>
    <mergeCell ref="Y188:AD189"/>
    <mergeCell ref="B186:D187"/>
    <mergeCell ref="E186:K187"/>
    <mergeCell ref="V192:X193"/>
    <mergeCell ref="Y192:AD193"/>
    <mergeCell ref="B190:D191"/>
    <mergeCell ref="E190:K191"/>
    <mergeCell ref="L190:M191"/>
    <mergeCell ref="N190:Q191"/>
    <mergeCell ref="R190:U191"/>
    <mergeCell ref="V190:X191"/>
    <mergeCell ref="V184:X185"/>
    <mergeCell ref="Y184:AD185"/>
    <mergeCell ref="B182:D183"/>
    <mergeCell ref="E182:K183"/>
    <mergeCell ref="L182:M183"/>
    <mergeCell ref="N182:Q183"/>
    <mergeCell ref="R182:U183"/>
    <mergeCell ref="V182:X183"/>
    <mergeCell ref="L186:M187"/>
    <mergeCell ref="N186:Q187"/>
    <mergeCell ref="R186:U187"/>
    <mergeCell ref="V186:X187"/>
    <mergeCell ref="Y182:AD183"/>
    <mergeCell ref="B184:D185"/>
    <mergeCell ref="E184:K185"/>
    <mergeCell ref="L184:M185"/>
    <mergeCell ref="N184:Q185"/>
    <mergeCell ref="R184:U185"/>
    <mergeCell ref="Y186:AD187"/>
    <mergeCell ref="B176:D177"/>
    <mergeCell ref="E176:K177"/>
    <mergeCell ref="L176:M177"/>
    <mergeCell ref="N176:Q177"/>
    <mergeCell ref="R176:U177"/>
    <mergeCell ref="V176:X177"/>
    <mergeCell ref="Y176:AD177"/>
    <mergeCell ref="B174:D175"/>
    <mergeCell ref="E174:K175"/>
    <mergeCell ref="V180:X181"/>
    <mergeCell ref="Y180:AD181"/>
    <mergeCell ref="B178:D179"/>
    <mergeCell ref="E178:K179"/>
    <mergeCell ref="L178:M179"/>
    <mergeCell ref="N178:Q179"/>
    <mergeCell ref="R178:U179"/>
    <mergeCell ref="V178:X179"/>
    <mergeCell ref="Y178:AD179"/>
    <mergeCell ref="B180:D181"/>
    <mergeCell ref="E180:K181"/>
    <mergeCell ref="L180:M181"/>
    <mergeCell ref="N180:Q181"/>
    <mergeCell ref="R180:U181"/>
    <mergeCell ref="B172:D173"/>
    <mergeCell ref="E172:K173"/>
    <mergeCell ref="L172:M173"/>
    <mergeCell ref="N172:Q173"/>
    <mergeCell ref="R172:U173"/>
    <mergeCell ref="V172:X173"/>
    <mergeCell ref="AB152:AD154"/>
    <mergeCell ref="B164:D165"/>
    <mergeCell ref="E164:K165"/>
    <mergeCell ref="L164:M165"/>
    <mergeCell ref="N164:Q165"/>
    <mergeCell ref="R164:U165"/>
    <mergeCell ref="V164:X165"/>
    <mergeCell ref="Y164:AD165"/>
    <mergeCell ref="Q153:R154"/>
    <mergeCell ref="B160:K163"/>
    <mergeCell ref="L174:M175"/>
    <mergeCell ref="N174:Q175"/>
    <mergeCell ref="R174:U175"/>
    <mergeCell ref="V174:X175"/>
    <mergeCell ref="V152:X154"/>
    <mergeCell ref="Y152:AA154"/>
    <mergeCell ref="Y170:AD171"/>
    <mergeCell ref="Y172:AD173"/>
    <mergeCell ref="Y166:AD167"/>
    <mergeCell ref="Y168:AD169"/>
    <mergeCell ref="Y174:AD175"/>
    <mergeCell ref="L166:M167"/>
    <mergeCell ref="N166:Q167"/>
    <mergeCell ref="R166:U167"/>
    <mergeCell ref="V166:X167"/>
    <mergeCell ref="B166:D167"/>
    <mergeCell ref="B143:D144"/>
    <mergeCell ref="B168:D169"/>
    <mergeCell ref="E168:K169"/>
    <mergeCell ref="L168:M169"/>
    <mergeCell ref="N168:Q169"/>
    <mergeCell ref="R168:U169"/>
    <mergeCell ref="V168:X169"/>
    <mergeCell ref="B170:D171"/>
    <mergeCell ref="E170:K171"/>
    <mergeCell ref="L170:M171"/>
    <mergeCell ref="N170:Q171"/>
    <mergeCell ref="R170:U171"/>
    <mergeCell ref="V170:X171"/>
    <mergeCell ref="B152:H154"/>
    <mergeCell ref="I152:I154"/>
    <mergeCell ref="J152:K154"/>
    <mergeCell ref="L152:L154"/>
    <mergeCell ref="S152:U154"/>
    <mergeCell ref="L160:M163"/>
    <mergeCell ref="N160:U161"/>
    <mergeCell ref="V160:X163"/>
    <mergeCell ref="Y160:AD163"/>
    <mergeCell ref="N162:Q163"/>
    <mergeCell ref="R162:U163"/>
    <mergeCell ref="E143:K144"/>
    <mergeCell ref="L143:M144"/>
    <mergeCell ref="N143:Q144"/>
    <mergeCell ref="R143:U144"/>
    <mergeCell ref="V143:X144"/>
    <mergeCell ref="AB150:AD151"/>
    <mergeCell ref="V150:X150"/>
    <mergeCell ref="V151:X151"/>
    <mergeCell ref="E166:K167"/>
    <mergeCell ref="Y143:AD144"/>
    <mergeCell ref="Y145:AD146"/>
    <mergeCell ref="G148:I148"/>
    <mergeCell ref="AC148:AD148"/>
    <mergeCell ref="Q150:R151"/>
    <mergeCell ref="S150:U151"/>
    <mergeCell ref="Y150:AA151"/>
    <mergeCell ref="B137:D138"/>
    <mergeCell ref="E137:K138"/>
    <mergeCell ref="L137:M138"/>
    <mergeCell ref="N137:Q138"/>
    <mergeCell ref="R137:U138"/>
    <mergeCell ref="V137:X138"/>
    <mergeCell ref="Y137:AD138"/>
    <mergeCell ref="B135:D136"/>
    <mergeCell ref="E135:K136"/>
    <mergeCell ref="R141:U142"/>
    <mergeCell ref="V141:X142"/>
    <mergeCell ref="Y141:AD142"/>
    <mergeCell ref="B139:D140"/>
    <mergeCell ref="E139:K140"/>
    <mergeCell ref="L139:M140"/>
    <mergeCell ref="N139:Q140"/>
    <mergeCell ref="R139:U140"/>
    <mergeCell ref="V139:X140"/>
    <mergeCell ref="Y139:AD140"/>
    <mergeCell ref="B141:D142"/>
    <mergeCell ref="E141:K142"/>
    <mergeCell ref="L141:M142"/>
    <mergeCell ref="N141:Q142"/>
    <mergeCell ref="V133:X134"/>
    <mergeCell ref="Y133:AD134"/>
    <mergeCell ref="B131:D132"/>
    <mergeCell ref="E131:K132"/>
    <mergeCell ref="L131:M132"/>
    <mergeCell ref="N131:Q132"/>
    <mergeCell ref="R131:U132"/>
    <mergeCell ref="V131:X132"/>
    <mergeCell ref="L135:M136"/>
    <mergeCell ref="N135:Q136"/>
    <mergeCell ref="R135:U136"/>
    <mergeCell ref="V135:X136"/>
    <mergeCell ref="Y131:AD132"/>
    <mergeCell ref="B133:D134"/>
    <mergeCell ref="E133:K134"/>
    <mergeCell ref="L133:M134"/>
    <mergeCell ref="N133:Q134"/>
    <mergeCell ref="R133:U134"/>
    <mergeCell ref="Y135:AD136"/>
    <mergeCell ref="L127:M128"/>
    <mergeCell ref="N127:Q128"/>
    <mergeCell ref="R127:U128"/>
    <mergeCell ref="V127:X128"/>
    <mergeCell ref="Y123:AD124"/>
    <mergeCell ref="B125:D126"/>
    <mergeCell ref="E125:K126"/>
    <mergeCell ref="L125:M126"/>
    <mergeCell ref="N125:Q126"/>
    <mergeCell ref="R125:U126"/>
    <mergeCell ref="Y127:AD128"/>
    <mergeCell ref="B129:D130"/>
    <mergeCell ref="E129:K130"/>
    <mergeCell ref="L129:M130"/>
    <mergeCell ref="N129:Q130"/>
    <mergeCell ref="R129:U130"/>
    <mergeCell ref="V129:X130"/>
    <mergeCell ref="Y129:AD130"/>
    <mergeCell ref="B127:D128"/>
    <mergeCell ref="E127:K128"/>
    <mergeCell ref="B121:D122"/>
    <mergeCell ref="E121:K122"/>
    <mergeCell ref="L121:M122"/>
    <mergeCell ref="N121:Q122"/>
    <mergeCell ref="R121:U122"/>
    <mergeCell ref="V121:X122"/>
    <mergeCell ref="Y121:AD122"/>
    <mergeCell ref="B119:D120"/>
    <mergeCell ref="E119:K120"/>
    <mergeCell ref="V125:X126"/>
    <mergeCell ref="Y125:AD126"/>
    <mergeCell ref="B123:D124"/>
    <mergeCell ref="E123:K124"/>
    <mergeCell ref="L123:M124"/>
    <mergeCell ref="N123:Q124"/>
    <mergeCell ref="R123:U124"/>
    <mergeCell ref="V123:X124"/>
    <mergeCell ref="V117:X118"/>
    <mergeCell ref="Y117:AD118"/>
    <mergeCell ref="B115:D116"/>
    <mergeCell ref="E115:K116"/>
    <mergeCell ref="L115:M116"/>
    <mergeCell ref="N115:Q116"/>
    <mergeCell ref="R115:U116"/>
    <mergeCell ref="V115:X116"/>
    <mergeCell ref="L119:M120"/>
    <mergeCell ref="N119:Q120"/>
    <mergeCell ref="R119:U120"/>
    <mergeCell ref="V119:X120"/>
    <mergeCell ref="Y115:AD116"/>
    <mergeCell ref="B117:D118"/>
    <mergeCell ref="E117:K118"/>
    <mergeCell ref="L117:M118"/>
    <mergeCell ref="N117:Q118"/>
    <mergeCell ref="R117:U118"/>
    <mergeCell ref="Y119:AD120"/>
    <mergeCell ref="L111:M112"/>
    <mergeCell ref="N111:Q112"/>
    <mergeCell ref="R111:U112"/>
    <mergeCell ref="V111:X112"/>
    <mergeCell ref="Y107:AD108"/>
    <mergeCell ref="B109:D110"/>
    <mergeCell ref="E109:K110"/>
    <mergeCell ref="L109:M110"/>
    <mergeCell ref="N109:Q110"/>
    <mergeCell ref="R109:U110"/>
    <mergeCell ref="Y111:AD112"/>
    <mergeCell ref="B113:D114"/>
    <mergeCell ref="E113:K114"/>
    <mergeCell ref="L113:M114"/>
    <mergeCell ref="N113:Q114"/>
    <mergeCell ref="R113:U114"/>
    <mergeCell ref="V113:X114"/>
    <mergeCell ref="Y113:AD114"/>
    <mergeCell ref="B111:D112"/>
    <mergeCell ref="E111:K112"/>
    <mergeCell ref="B105:D106"/>
    <mergeCell ref="E105:K106"/>
    <mergeCell ref="L105:M106"/>
    <mergeCell ref="N105:Q106"/>
    <mergeCell ref="R105:U106"/>
    <mergeCell ref="V105:X106"/>
    <mergeCell ref="Y105:AD106"/>
    <mergeCell ref="B103:D104"/>
    <mergeCell ref="E103:K104"/>
    <mergeCell ref="V109:X110"/>
    <mergeCell ref="Y109:AD110"/>
    <mergeCell ref="B107:D108"/>
    <mergeCell ref="E107:K108"/>
    <mergeCell ref="L107:M108"/>
    <mergeCell ref="N107:Q108"/>
    <mergeCell ref="R107:U108"/>
    <mergeCell ref="V107:X108"/>
    <mergeCell ref="B97:D98"/>
    <mergeCell ref="E97:K98"/>
    <mergeCell ref="L97:M98"/>
    <mergeCell ref="N97:Q98"/>
    <mergeCell ref="R97:U98"/>
    <mergeCell ref="V97:X98"/>
    <mergeCell ref="Y97:AD98"/>
    <mergeCell ref="B95:D96"/>
    <mergeCell ref="V101:X102"/>
    <mergeCell ref="Y101:AD102"/>
    <mergeCell ref="B99:D100"/>
    <mergeCell ref="E99:K100"/>
    <mergeCell ref="L99:M100"/>
    <mergeCell ref="N99:Q100"/>
    <mergeCell ref="R99:U100"/>
    <mergeCell ref="V99:X100"/>
    <mergeCell ref="L103:M104"/>
    <mergeCell ref="N103:Q104"/>
    <mergeCell ref="R103:U104"/>
    <mergeCell ref="V103:X104"/>
    <mergeCell ref="Y99:AD100"/>
    <mergeCell ref="B101:D102"/>
    <mergeCell ref="E101:K102"/>
    <mergeCell ref="L101:M102"/>
    <mergeCell ref="N101:Q102"/>
    <mergeCell ref="R101:U102"/>
    <mergeCell ref="Y103:AD104"/>
    <mergeCell ref="V93:X94"/>
    <mergeCell ref="Y79:AA81"/>
    <mergeCell ref="V91:X92"/>
    <mergeCell ref="Y91:AD92"/>
    <mergeCell ref="AB79:AD81"/>
    <mergeCell ref="Q80:R81"/>
    <mergeCell ref="N89:Q90"/>
    <mergeCell ref="V79:X81"/>
    <mergeCell ref="R89:U90"/>
    <mergeCell ref="E95:K96"/>
    <mergeCell ref="L95:M96"/>
    <mergeCell ref="N95:Q96"/>
    <mergeCell ref="R95:U96"/>
    <mergeCell ref="V95:X96"/>
    <mergeCell ref="B93:D94"/>
    <mergeCell ref="E93:K94"/>
    <mergeCell ref="L93:M94"/>
    <mergeCell ref="N93:Q94"/>
    <mergeCell ref="R93:U94"/>
    <mergeCell ref="Y93:AD94"/>
    <mergeCell ref="Y95:AD96"/>
    <mergeCell ref="B70:D71"/>
    <mergeCell ref="L70:M71"/>
    <mergeCell ref="N70:Q71"/>
    <mergeCell ref="R70:U71"/>
    <mergeCell ref="V77:X77"/>
    <mergeCell ref="V78:X78"/>
    <mergeCell ref="B77:M78"/>
    <mergeCell ref="Q77:R78"/>
    <mergeCell ref="S77:U78"/>
    <mergeCell ref="E70:K71"/>
    <mergeCell ref="AB77:AD78"/>
    <mergeCell ref="V70:X71"/>
    <mergeCell ref="Y70:AD71"/>
    <mergeCell ref="Y72:AD73"/>
    <mergeCell ref="G75:I75"/>
    <mergeCell ref="AC75:AD75"/>
    <mergeCell ref="B91:D92"/>
    <mergeCell ref="E91:K92"/>
    <mergeCell ref="L91:M92"/>
    <mergeCell ref="N91:Q92"/>
    <mergeCell ref="R91:U92"/>
    <mergeCell ref="Y77:AA78"/>
    <mergeCell ref="B87:K90"/>
    <mergeCell ref="L87:M90"/>
    <mergeCell ref="N87:U88"/>
    <mergeCell ref="V87:X90"/>
    <mergeCell ref="Y87:AD90"/>
    <mergeCell ref="B79:H81"/>
    <mergeCell ref="I79:I81"/>
    <mergeCell ref="J79:K81"/>
    <mergeCell ref="L79:L81"/>
    <mergeCell ref="S79:U81"/>
    <mergeCell ref="N66:Q67"/>
    <mergeCell ref="R66:U67"/>
    <mergeCell ref="V66:X67"/>
    <mergeCell ref="E68:K69"/>
    <mergeCell ref="Y62:AD63"/>
    <mergeCell ref="B64:D65"/>
    <mergeCell ref="E64:K65"/>
    <mergeCell ref="L64:M65"/>
    <mergeCell ref="N64:Q65"/>
    <mergeCell ref="R64:U65"/>
    <mergeCell ref="Y66:AD67"/>
    <mergeCell ref="B68:D69"/>
    <mergeCell ref="L68:M69"/>
    <mergeCell ref="N68:Q69"/>
    <mergeCell ref="R68:U69"/>
    <mergeCell ref="V68:X69"/>
    <mergeCell ref="Y68:AD69"/>
    <mergeCell ref="B66:D67"/>
    <mergeCell ref="E66:K67"/>
    <mergeCell ref="L66:M67"/>
    <mergeCell ref="B60:D61"/>
    <mergeCell ref="E60:K61"/>
    <mergeCell ref="L60:M61"/>
    <mergeCell ref="N60:Q61"/>
    <mergeCell ref="R60:U61"/>
    <mergeCell ref="V60:X61"/>
    <mergeCell ref="Y60:AD61"/>
    <mergeCell ref="B58:D59"/>
    <mergeCell ref="E58:K59"/>
    <mergeCell ref="V64:X65"/>
    <mergeCell ref="Y64:AD65"/>
    <mergeCell ref="B62:D63"/>
    <mergeCell ref="E62:K63"/>
    <mergeCell ref="L62:M63"/>
    <mergeCell ref="N62:Q63"/>
    <mergeCell ref="R62:U63"/>
    <mergeCell ref="V62:X63"/>
    <mergeCell ref="V56:X57"/>
    <mergeCell ref="Y56:AD57"/>
    <mergeCell ref="B54:D55"/>
    <mergeCell ref="E54:K55"/>
    <mergeCell ref="L54:M55"/>
    <mergeCell ref="N54:Q55"/>
    <mergeCell ref="R54:U55"/>
    <mergeCell ref="V54:X55"/>
    <mergeCell ref="L58:M59"/>
    <mergeCell ref="N58:Q59"/>
    <mergeCell ref="R58:U59"/>
    <mergeCell ref="V58:X59"/>
    <mergeCell ref="Y54:AD55"/>
    <mergeCell ref="B56:D57"/>
    <mergeCell ref="E56:K57"/>
    <mergeCell ref="L56:M57"/>
    <mergeCell ref="N56:Q57"/>
    <mergeCell ref="R56:U57"/>
    <mergeCell ref="Y58:AD59"/>
    <mergeCell ref="L50:M51"/>
    <mergeCell ref="N50:Q51"/>
    <mergeCell ref="R50:U51"/>
    <mergeCell ref="V50:X51"/>
    <mergeCell ref="Y46:AD47"/>
    <mergeCell ref="B48:D49"/>
    <mergeCell ref="E48:K49"/>
    <mergeCell ref="L48:M49"/>
    <mergeCell ref="N48:Q49"/>
    <mergeCell ref="R48:U49"/>
    <mergeCell ref="Y50:AD51"/>
    <mergeCell ref="B52:D53"/>
    <mergeCell ref="E52:K53"/>
    <mergeCell ref="L52:M53"/>
    <mergeCell ref="N52:Q53"/>
    <mergeCell ref="R52:U53"/>
    <mergeCell ref="V52:X53"/>
    <mergeCell ref="Y52:AD53"/>
    <mergeCell ref="B50:D51"/>
    <mergeCell ref="E50:K51"/>
    <mergeCell ref="B44:D45"/>
    <mergeCell ref="E44:K45"/>
    <mergeCell ref="L44:M45"/>
    <mergeCell ref="N44:Q45"/>
    <mergeCell ref="R44:U45"/>
    <mergeCell ref="V44:X45"/>
    <mergeCell ref="Y44:AD45"/>
    <mergeCell ref="B42:D43"/>
    <mergeCell ref="E42:K43"/>
    <mergeCell ref="V48:X49"/>
    <mergeCell ref="Y48:AD49"/>
    <mergeCell ref="B46:D47"/>
    <mergeCell ref="E46:K47"/>
    <mergeCell ref="L46:M47"/>
    <mergeCell ref="N46:Q47"/>
    <mergeCell ref="R46:U47"/>
    <mergeCell ref="V46:X47"/>
    <mergeCell ref="V40:X41"/>
    <mergeCell ref="Y40:AD41"/>
    <mergeCell ref="B38:D39"/>
    <mergeCell ref="E38:K39"/>
    <mergeCell ref="L38:M39"/>
    <mergeCell ref="N38:Q39"/>
    <mergeCell ref="R38:U39"/>
    <mergeCell ref="V38:X39"/>
    <mergeCell ref="L42:M43"/>
    <mergeCell ref="N42:Q43"/>
    <mergeCell ref="R42:U43"/>
    <mergeCell ref="V42:X43"/>
    <mergeCell ref="Y38:AD39"/>
    <mergeCell ref="B40:D41"/>
    <mergeCell ref="E40:K41"/>
    <mergeCell ref="L40:M41"/>
    <mergeCell ref="N40:Q41"/>
    <mergeCell ref="R40:U41"/>
    <mergeCell ref="Y42:AD43"/>
    <mergeCell ref="Y36:AD37"/>
    <mergeCell ref="B34:D35"/>
    <mergeCell ref="E34:K35"/>
    <mergeCell ref="L34:M35"/>
    <mergeCell ref="N34:Q35"/>
    <mergeCell ref="R34:U35"/>
    <mergeCell ref="V34:X35"/>
    <mergeCell ref="N22:Q23"/>
    <mergeCell ref="R22:U23"/>
    <mergeCell ref="V22:X23"/>
    <mergeCell ref="Y34:AD35"/>
    <mergeCell ref="B36:D37"/>
    <mergeCell ref="E36:K37"/>
    <mergeCell ref="L36:M37"/>
    <mergeCell ref="N36:Q37"/>
    <mergeCell ref="R36:U37"/>
    <mergeCell ref="V36:X37"/>
    <mergeCell ref="Y26:AD27"/>
    <mergeCell ref="Y22:AD23"/>
    <mergeCell ref="Y24:AD25"/>
    <mergeCell ref="E26:K27"/>
    <mergeCell ref="L26:M27"/>
    <mergeCell ref="N26:Q27"/>
    <mergeCell ref="R26:U27"/>
    <mergeCell ref="V26:X27"/>
    <mergeCell ref="B28:D29"/>
    <mergeCell ref="E28:K29"/>
    <mergeCell ref="L28:M29"/>
    <mergeCell ref="N28:Q29"/>
    <mergeCell ref="R28:U29"/>
    <mergeCell ref="V28:X29"/>
    <mergeCell ref="E18:K19"/>
    <mergeCell ref="L18:M19"/>
    <mergeCell ref="V14:X17"/>
    <mergeCell ref="Y14:AD17"/>
    <mergeCell ref="L30:M31"/>
    <mergeCell ref="N30:Q31"/>
    <mergeCell ref="R30:U31"/>
    <mergeCell ref="V30:X31"/>
    <mergeCell ref="N18:Q19"/>
    <mergeCell ref="R18:U19"/>
    <mergeCell ref="Y30:AD31"/>
    <mergeCell ref="B32:D33"/>
    <mergeCell ref="E32:K33"/>
    <mergeCell ref="L32:M33"/>
    <mergeCell ref="N32:Q33"/>
    <mergeCell ref="R32:U33"/>
    <mergeCell ref="V32:X33"/>
    <mergeCell ref="Y32:AD33"/>
    <mergeCell ref="B30:D31"/>
    <mergeCell ref="E30:K31"/>
    <mergeCell ref="B22:D23"/>
    <mergeCell ref="E22:K23"/>
    <mergeCell ref="L22:M23"/>
    <mergeCell ref="Y20:AD21"/>
    <mergeCell ref="B24:D25"/>
    <mergeCell ref="E24:K25"/>
    <mergeCell ref="L24:M25"/>
    <mergeCell ref="N24:Q25"/>
    <mergeCell ref="R24:U25"/>
    <mergeCell ref="V24:X25"/>
    <mergeCell ref="Y28:AD29"/>
    <mergeCell ref="B26:D27"/>
    <mergeCell ref="AC2:AD2"/>
    <mergeCell ref="Q4:R5"/>
    <mergeCell ref="S4:U5"/>
    <mergeCell ref="Y4:AA5"/>
    <mergeCell ref="AB4:AD5"/>
    <mergeCell ref="V4:X4"/>
    <mergeCell ref="V5:X5"/>
    <mergeCell ref="B20:D21"/>
    <mergeCell ref="E20:K21"/>
    <mergeCell ref="L20:M21"/>
    <mergeCell ref="N20:Q21"/>
    <mergeCell ref="R20:U21"/>
    <mergeCell ref="V20:X21"/>
    <mergeCell ref="B6:H8"/>
    <mergeCell ref="I6:I8"/>
    <mergeCell ref="J6:K8"/>
    <mergeCell ref="L6:L8"/>
    <mergeCell ref="S6:U8"/>
    <mergeCell ref="N16:Q17"/>
    <mergeCell ref="Y18:AD19"/>
    <mergeCell ref="AB6:AD8"/>
    <mergeCell ref="B4:M5"/>
    <mergeCell ref="R16:U17"/>
    <mergeCell ref="G2:I2"/>
    <mergeCell ref="Q7:R8"/>
    <mergeCell ref="B14:K17"/>
    <mergeCell ref="L14:M17"/>
    <mergeCell ref="N14:U15"/>
    <mergeCell ref="V6:X8"/>
    <mergeCell ref="Y6:AA8"/>
    <mergeCell ref="V18:X19"/>
    <mergeCell ref="B18:D19"/>
  </mergeCells>
  <phoneticPr fontId="2"/>
  <pageMargins left="0.70866141732283472" right="0.70866141732283472" top="0.74803149606299213" bottom="0.55118110236220474" header="0.31496062992125984" footer="0.31496062992125984"/>
  <pageSetup paperSize="9" scale="73" orientation="portrait" r:id="rId1"/>
  <rowBreaks count="4" manualBreakCount="4">
    <brk id="73" max="30" man="1"/>
    <brk id="146" max="30" man="1"/>
    <brk id="219" max="30" man="1"/>
    <brk id="292" max="30"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35F65-D71A-49CD-9786-6E0089F64AE7}">
  <sheetPr codeName="Sheet7"/>
  <dimension ref="A1:F2"/>
  <sheetViews>
    <sheetView workbookViewId="0">
      <selection activeCell="D19" sqref="D19"/>
    </sheetView>
  </sheetViews>
  <sheetFormatPr defaultRowHeight="18"/>
  <cols>
    <col min="1" max="1" width="20.09765625" bestFit="1" customWidth="1"/>
    <col min="2" max="2" width="10.796875" bestFit="1" customWidth="1"/>
    <col min="3" max="3" width="25.19921875" bestFit="1" customWidth="1"/>
    <col min="4" max="4" width="10.796875" bestFit="1" customWidth="1"/>
    <col min="5" max="5" width="13.69921875" bestFit="1" customWidth="1"/>
    <col min="6" max="6" width="9" bestFit="1" customWidth="1"/>
  </cols>
  <sheetData>
    <row r="1" spans="1:6" ht="36.6" customHeight="1">
      <c r="A1" s="43" t="s">
        <v>1069</v>
      </c>
      <c r="B1" s="43" t="s">
        <v>1065</v>
      </c>
      <c r="C1" s="43" t="s">
        <v>1066</v>
      </c>
      <c r="D1" s="43" t="s">
        <v>1070</v>
      </c>
      <c r="E1" s="43" t="s">
        <v>1067</v>
      </c>
      <c r="F1" s="43" t="s">
        <v>1068</v>
      </c>
    </row>
    <row r="2" spans="1:6">
      <c r="A2" s="45"/>
      <c r="B2" s="44"/>
      <c r="C2" s="44"/>
      <c r="D2" s="44"/>
      <c r="E2" s="44"/>
      <c r="F2" s="44"/>
    </row>
  </sheetData>
  <phoneticPr fontId="2"/>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830A5-C551-4DEB-AFE1-756D46FD2451}">
  <sheetPr codeName="Sheet8"/>
  <dimension ref="A1:D179"/>
  <sheetViews>
    <sheetView workbookViewId="0">
      <selection activeCell="C4" sqref="C4"/>
    </sheetView>
  </sheetViews>
  <sheetFormatPr defaultRowHeight="18"/>
  <cols>
    <col min="1" max="1" width="26.296875" style="51" customWidth="1"/>
    <col min="2" max="2" width="44.69921875" style="51" customWidth="1"/>
    <col min="3" max="4" width="9" style="51" customWidth="1"/>
    <col min="5" max="16384" width="8.796875" style="51"/>
  </cols>
  <sheetData>
    <row r="1" spans="1:4">
      <c r="A1" s="112" t="s">
        <v>1115</v>
      </c>
      <c r="B1" s="112" t="s">
        <v>1114</v>
      </c>
      <c r="C1" s="113" t="s">
        <v>1173</v>
      </c>
      <c r="D1" s="114" t="s">
        <v>1174</v>
      </c>
    </row>
    <row r="2" spans="1:4">
      <c r="A2" s="115" t="s">
        <v>1023</v>
      </c>
      <c r="B2" s="115" t="s">
        <v>1023</v>
      </c>
      <c r="C2" s="116"/>
      <c r="D2" s="117"/>
    </row>
    <row r="3" spans="1:4">
      <c r="A3" s="115" t="s">
        <v>823</v>
      </c>
      <c r="B3" s="115" t="s">
        <v>823</v>
      </c>
      <c r="C3" s="118"/>
      <c r="D3" s="118"/>
    </row>
    <row r="4" spans="1:4">
      <c r="A4" s="115" t="s">
        <v>821</v>
      </c>
      <c r="B4" s="115" t="s">
        <v>821</v>
      </c>
      <c r="C4" s="116"/>
      <c r="D4" s="118"/>
    </row>
    <row r="5" spans="1:4">
      <c r="A5" s="115" t="s">
        <v>784</v>
      </c>
      <c r="B5" s="115" t="s">
        <v>784</v>
      </c>
      <c r="C5" s="118"/>
      <c r="D5" s="118"/>
    </row>
    <row r="6" spans="1:4">
      <c r="A6" s="115" t="s">
        <v>778</v>
      </c>
      <c r="B6" s="115" t="s">
        <v>778</v>
      </c>
      <c r="C6" s="116"/>
      <c r="D6" s="118"/>
    </row>
    <row r="7" spans="1:4">
      <c r="A7" s="115" t="s">
        <v>777</v>
      </c>
      <c r="B7" s="115" t="s">
        <v>777</v>
      </c>
      <c r="C7" s="118"/>
      <c r="D7" s="118"/>
    </row>
    <row r="8" spans="1:4">
      <c r="A8" s="115" t="s">
        <v>781</v>
      </c>
      <c r="B8" s="115" t="s">
        <v>781</v>
      </c>
      <c r="C8" s="116"/>
      <c r="D8" s="118"/>
    </row>
    <row r="9" spans="1:4">
      <c r="A9" s="115" t="s">
        <v>1112</v>
      </c>
      <c r="B9" s="115" t="s">
        <v>1112</v>
      </c>
      <c r="C9" s="118"/>
      <c r="D9" s="118"/>
    </row>
    <row r="10" spans="1:4">
      <c r="A10" s="115" t="s">
        <v>783</v>
      </c>
      <c r="B10" s="115" t="s">
        <v>783</v>
      </c>
      <c r="C10" s="116"/>
      <c r="D10" s="118"/>
    </row>
    <row r="11" spans="1:4">
      <c r="A11" s="115" t="s">
        <v>1111</v>
      </c>
      <c r="B11" s="115" t="s">
        <v>1111</v>
      </c>
      <c r="C11" s="118"/>
      <c r="D11" s="118"/>
    </row>
    <row r="12" spans="1:4">
      <c r="A12" s="115" t="s">
        <v>780</v>
      </c>
      <c r="B12" s="115" t="s">
        <v>780</v>
      </c>
      <c r="C12" s="116"/>
      <c r="D12" s="118"/>
    </row>
    <row r="13" spans="1:4">
      <c r="A13" s="115" t="s">
        <v>779</v>
      </c>
      <c r="B13" s="115" t="s">
        <v>779</v>
      </c>
      <c r="C13" s="118"/>
      <c r="D13" s="118"/>
    </row>
    <row r="14" spans="1:4">
      <c r="A14" s="115" t="s">
        <v>1110</v>
      </c>
      <c r="B14" s="115" t="s">
        <v>1110</v>
      </c>
      <c r="C14" s="116"/>
      <c r="D14" s="118"/>
    </row>
    <row r="15" spans="1:4">
      <c r="A15" s="115" t="s">
        <v>825</v>
      </c>
      <c r="B15" s="115" t="s">
        <v>825</v>
      </c>
      <c r="C15" s="118"/>
      <c r="D15" s="118"/>
    </row>
    <row r="16" spans="1:4">
      <c r="A16" s="115" t="s">
        <v>893</v>
      </c>
      <c r="B16" s="115" t="s">
        <v>893</v>
      </c>
      <c r="C16" s="116"/>
      <c r="D16" s="118"/>
    </row>
    <row r="17" spans="1:4">
      <c r="A17" s="115" t="s">
        <v>897</v>
      </c>
      <c r="B17" s="115" t="s">
        <v>897</v>
      </c>
      <c r="C17" s="118"/>
      <c r="D17" s="118"/>
    </row>
    <row r="18" spans="1:4">
      <c r="A18" s="115" t="s">
        <v>899</v>
      </c>
      <c r="B18" s="115" t="s">
        <v>899</v>
      </c>
      <c r="C18" s="116"/>
      <c r="D18" s="118"/>
    </row>
    <row r="19" spans="1:4">
      <c r="A19" s="115" t="s">
        <v>901</v>
      </c>
      <c r="B19" s="115" t="s">
        <v>901</v>
      </c>
      <c r="C19" s="118"/>
      <c r="D19" s="118"/>
    </row>
    <row r="20" spans="1:4">
      <c r="A20" s="115" t="s">
        <v>914</v>
      </c>
      <c r="B20" s="115" t="s">
        <v>914</v>
      </c>
      <c r="C20" s="116"/>
      <c r="D20" s="118"/>
    </row>
    <row r="21" spans="1:4">
      <c r="A21" s="115" t="s">
        <v>917</v>
      </c>
      <c r="B21" s="115" t="s">
        <v>917</v>
      </c>
      <c r="C21" s="118"/>
      <c r="D21" s="118"/>
    </row>
    <row r="22" spans="1:4">
      <c r="A22" s="115" t="s">
        <v>987</v>
      </c>
      <c r="B22" s="115" t="s">
        <v>987</v>
      </c>
      <c r="C22" s="116"/>
      <c r="D22" s="118"/>
    </row>
    <row r="23" spans="1:4">
      <c r="A23" s="115" t="s">
        <v>1000</v>
      </c>
      <c r="B23" s="115" t="s">
        <v>1000</v>
      </c>
      <c r="C23" s="118"/>
      <c r="D23" s="118"/>
    </row>
    <row r="24" spans="1:4">
      <c r="A24" s="115" t="s">
        <v>1107</v>
      </c>
      <c r="B24" s="115" t="s">
        <v>1107</v>
      </c>
      <c r="C24" s="116"/>
      <c r="D24" s="118"/>
    </row>
    <row r="25" spans="1:4">
      <c r="A25" s="115" t="s">
        <v>1094</v>
      </c>
      <c r="B25" s="115" t="s">
        <v>1094</v>
      </c>
      <c r="C25" s="118"/>
      <c r="D25" s="118"/>
    </row>
    <row r="26" spans="1:4">
      <c r="A26" s="115" t="s">
        <v>1093</v>
      </c>
      <c r="B26" s="115" t="s">
        <v>1093</v>
      </c>
      <c r="C26" s="116"/>
      <c r="D26" s="118"/>
    </row>
    <row r="27" spans="1:4">
      <c r="A27" s="115" t="s">
        <v>978</v>
      </c>
      <c r="B27" s="115" t="s">
        <v>978</v>
      </c>
      <c r="C27" s="118"/>
      <c r="D27" s="118"/>
    </row>
    <row r="28" spans="1:4">
      <c r="A28" s="115" t="s">
        <v>835</v>
      </c>
      <c r="B28" s="115" t="s">
        <v>835</v>
      </c>
      <c r="C28" s="116"/>
      <c r="D28" s="118"/>
    </row>
    <row r="29" spans="1:4">
      <c r="A29" s="115" t="s">
        <v>1077</v>
      </c>
      <c r="B29" s="115" t="s">
        <v>1077</v>
      </c>
      <c r="C29" s="118"/>
      <c r="D29" s="118"/>
    </row>
    <row r="30" spans="1:4">
      <c r="A30" s="115" t="s">
        <v>972</v>
      </c>
      <c r="B30" s="115" t="s">
        <v>972</v>
      </c>
      <c r="C30" s="116"/>
      <c r="D30" s="118"/>
    </row>
    <row r="31" spans="1:4">
      <c r="A31" s="115" t="s">
        <v>1026</v>
      </c>
      <c r="B31" s="115" t="s">
        <v>1026</v>
      </c>
      <c r="C31" s="118"/>
      <c r="D31" s="118"/>
    </row>
    <row r="32" spans="1:4">
      <c r="A32" s="115" t="s">
        <v>976</v>
      </c>
      <c r="B32" s="115" t="s">
        <v>976</v>
      </c>
      <c r="C32" s="116"/>
      <c r="D32" s="118"/>
    </row>
    <row r="33" spans="1:4">
      <c r="A33" s="115" t="s">
        <v>980</v>
      </c>
      <c r="B33" s="115" t="s">
        <v>980</v>
      </c>
      <c r="C33" s="118"/>
      <c r="D33" s="118"/>
    </row>
    <row r="34" spans="1:4">
      <c r="A34" s="115" t="s">
        <v>903</v>
      </c>
      <c r="B34" s="115" t="s">
        <v>903</v>
      </c>
      <c r="C34" s="116"/>
      <c r="D34" s="118"/>
    </row>
    <row r="35" spans="1:4">
      <c r="A35" s="115" t="s">
        <v>905</v>
      </c>
      <c r="B35" s="115" t="s">
        <v>905</v>
      </c>
      <c r="C35" s="118"/>
      <c r="D35" s="118"/>
    </row>
    <row r="36" spans="1:4">
      <c r="A36" s="115" t="s">
        <v>871</v>
      </c>
      <c r="B36" s="115" t="s">
        <v>871</v>
      </c>
      <c r="C36" s="116"/>
      <c r="D36" s="118"/>
    </row>
    <row r="37" spans="1:4">
      <c r="A37" s="115" t="s">
        <v>912</v>
      </c>
      <c r="B37" s="115" t="s">
        <v>912</v>
      </c>
      <c r="C37" s="118"/>
      <c r="D37" s="118"/>
    </row>
    <row r="38" spans="1:4">
      <c r="A38" s="115" t="s">
        <v>932</v>
      </c>
      <c r="B38" s="115" t="s">
        <v>932</v>
      </c>
      <c r="C38" s="116"/>
      <c r="D38" s="118"/>
    </row>
    <row r="39" spans="1:4">
      <c r="A39" s="115" t="s">
        <v>934</v>
      </c>
      <c r="B39" s="115" t="s">
        <v>934</v>
      </c>
      <c r="C39" s="118"/>
      <c r="D39" s="118"/>
    </row>
    <row r="40" spans="1:4">
      <c r="A40" s="119" t="s">
        <v>1175</v>
      </c>
      <c r="B40" s="119" t="s">
        <v>1015</v>
      </c>
      <c r="C40" s="116"/>
      <c r="D40" s="118"/>
    </row>
    <row r="41" spans="1:4">
      <c r="A41" s="119" t="s">
        <v>1176</v>
      </c>
      <c r="B41" s="119" t="s">
        <v>1017</v>
      </c>
      <c r="C41" s="118"/>
      <c r="D41" s="118"/>
    </row>
    <row r="42" spans="1:4">
      <c r="A42" s="119" t="s">
        <v>1177</v>
      </c>
      <c r="B42" s="119" t="s">
        <v>1021</v>
      </c>
      <c r="C42" s="116"/>
      <c r="D42" s="118"/>
    </row>
    <row r="43" spans="1:4">
      <c r="A43" s="119" t="s">
        <v>1178</v>
      </c>
      <c r="B43" s="119" t="s">
        <v>1019</v>
      </c>
      <c r="C43" s="118"/>
      <c r="D43" s="118"/>
    </row>
    <row r="44" spans="1:4">
      <c r="A44" s="119" t="s">
        <v>1179</v>
      </c>
      <c r="B44" s="119" t="s">
        <v>957</v>
      </c>
      <c r="C44" s="116"/>
      <c r="D44" s="118"/>
    </row>
    <row r="45" spans="1:4">
      <c r="A45" s="119" t="s">
        <v>1180</v>
      </c>
      <c r="B45" s="119" t="s">
        <v>786</v>
      </c>
      <c r="C45" s="118"/>
      <c r="D45" s="118"/>
    </row>
    <row r="46" spans="1:4">
      <c r="A46" s="119" t="s">
        <v>1181</v>
      </c>
      <c r="B46" s="119" t="s">
        <v>785</v>
      </c>
      <c r="C46" s="116"/>
      <c r="D46" s="118"/>
    </row>
    <row r="47" spans="1:4">
      <c r="A47" s="119" t="s">
        <v>1113</v>
      </c>
      <c r="B47" s="119" t="s">
        <v>782</v>
      </c>
      <c r="C47" s="118"/>
      <c r="D47" s="118"/>
    </row>
    <row r="48" spans="1:4">
      <c r="A48" s="119" t="s">
        <v>1182</v>
      </c>
      <c r="B48" s="119" t="s">
        <v>884</v>
      </c>
      <c r="C48" s="116"/>
      <c r="D48" s="118"/>
    </row>
    <row r="49" spans="1:4">
      <c r="A49" s="119" t="s">
        <v>1085</v>
      </c>
      <c r="B49" s="119" t="s">
        <v>1183</v>
      </c>
      <c r="C49" s="118" t="s">
        <v>1173</v>
      </c>
      <c r="D49" s="118"/>
    </row>
    <row r="50" spans="1:4">
      <c r="A50" s="119" t="s">
        <v>1108</v>
      </c>
      <c r="B50" s="119" t="s">
        <v>895</v>
      </c>
      <c r="C50" s="116"/>
      <c r="D50" s="118"/>
    </row>
    <row r="51" spans="1:4">
      <c r="A51" s="119" t="s">
        <v>1184</v>
      </c>
      <c r="B51" s="119" t="s">
        <v>909</v>
      </c>
      <c r="C51" s="118"/>
      <c r="D51" s="118"/>
    </row>
    <row r="52" spans="1:4">
      <c r="A52" s="119" t="s">
        <v>1185</v>
      </c>
      <c r="B52" s="119" t="s">
        <v>907</v>
      </c>
      <c r="C52" s="116"/>
      <c r="D52" s="118"/>
    </row>
    <row r="53" spans="1:4">
      <c r="A53" s="119" t="s">
        <v>1186</v>
      </c>
      <c r="B53" s="119" t="s">
        <v>839</v>
      </c>
      <c r="C53" s="118"/>
      <c r="D53" s="118"/>
    </row>
    <row r="54" spans="1:4">
      <c r="A54" s="119" t="s">
        <v>1186</v>
      </c>
      <c r="B54" s="119" t="s">
        <v>1187</v>
      </c>
      <c r="C54" s="116" t="s">
        <v>1173</v>
      </c>
      <c r="D54" s="118"/>
    </row>
    <row r="55" spans="1:4">
      <c r="A55" s="119" t="s">
        <v>1188</v>
      </c>
      <c r="B55" s="119" t="s">
        <v>841</v>
      </c>
      <c r="C55" s="118"/>
      <c r="D55" s="118"/>
    </row>
    <row r="56" spans="1:4">
      <c r="A56" s="119" t="s">
        <v>1189</v>
      </c>
      <c r="B56" s="119" t="s">
        <v>843</v>
      </c>
      <c r="C56" s="116"/>
      <c r="D56" s="118"/>
    </row>
    <row r="57" spans="1:4">
      <c r="A57" s="119" t="s">
        <v>1190</v>
      </c>
      <c r="B57" s="119" t="s">
        <v>847</v>
      </c>
      <c r="C57" s="118"/>
      <c r="D57" s="118"/>
    </row>
    <row r="58" spans="1:4">
      <c r="A58" s="119" t="s">
        <v>1191</v>
      </c>
      <c r="B58" s="119" t="s">
        <v>855</v>
      </c>
      <c r="C58" s="116"/>
      <c r="D58" s="118"/>
    </row>
    <row r="59" spans="1:4">
      <c r="A59" s="119" t="s">
        <v>1192</v>
      </c>
      <c r="B59" s="119" t="s">
        <v>853</v>
      </c>
      <c r="C59" s="118"/>
      <c r="D59" s="118"/>
    </row>
    <row r="60" spans="1:4">
      <c r="A60" s="119" t="s">
        <v>1193</v>
      </c>
      <c r="B60" s="119" t="s">
        <v>1194</v>
      </c>
      <c r="C60" s="116" t="s">
        <v>1173</v>
      </c>
      <c r="D60" s="118"/>
    </row>
    <row r="61" spans="1:4">
      <c r="A61" s="119" t="s">
        <v>1195</v>
      </c>
      <c r="B61" s="119" t="s">
        <v>857</v>
      </c>
      <c r="C61" s="118"/>
      <c r="D61" s="118"/>
    </row>
    <row r="62" spans="1:4">
      <c r="A62" s="119" t="s">
        <v>1196</v>
      </c>
      <c r="B62" s="119" t="s">
        <v>859</v>
      </c>
      <c r="C62" s="116"/>
      <c r="D62" s="118"/>
    </row>
    <row r="63" spans="1:4">
      <c r="A63" s="119" t="s">
        <v>1197</v>
      </c>
      <c r="B63" s="119" t="s">
        <v>886</v>
      </c>
      <c r="C63" s="118"/>
      <c r="D63" s="118"/>
    </row>
    <row r="64" spans="1:4">
      <c r="A64" s="119" t="s">
        <v>1091</v>
      </c>
      <c r="B64" s="119" t="s">
        <v>851</v>
      </c>
      <c r="C64" s="116"/>
      <c r="D64" s="118"/>
    </row>
    <row r="65" spans="1:4">
      <c r="A65" s="119" t="s">
        <v>1198</v>
      </c>
      <c r="B65" s="120" t="s">
        <v>1199</v>
      </c>
      <c r="C65" s="116"/>
      <c r="D65" s="118" t="s">
        <v>1200</v>
      </c>
    </row>
    <row r="66" spans="1:4">
      <c r="A66" s="119" t="s">
        <v>1201</v>
      </c>
      <c r="B66" s="119" t="s">
        <v>1202</v>
      </c>
      <c r="C66" s="118"/>
      <c r="D66" s="118" t="s">
        <v>1200</v>
      </c>
    </row>
    <row r="67" spans="1:4">
      <c r="A67" s="119" t="s">
        <v>1203</v>
      </c>
      <c r="B67" s="119" t="s">
        <v>1204</v>
      </c>
      <c r="C67" s="116"/>
      <c r="D67" s="118" t="s">
        <v>1200</v>
      </c>
    </row>
    <row r="68" spans="1:4">
      <c r="A68" s="119" t="s">
        <v>1205</v>
      </c>
      <c r="B68" s="119" t="s">
        <v>1206</v>
      </c>
      <c r="C68" s="118"/>
      <c r="D68" s="118" t="s">
        <v>1200</v>
      </c>
    </row>
    <row r="69" spans="1:4">
      <c r="A69" s="119" t="s">
        <v>1092</v>
      </c>
      <c r="B69" s="119" t="s">
        <v>876</v>
      </c>
      <c r="C69" s="116"/>
      <c r="D69" s="118"/>
    </row>
    <row r="70" spans="1:4">
      <c r="A70" s="119" t="s">
        <v>1207</v>
      </c>
      <c r="B70" s="119" t="s">
        <v>1096</v>
      </c>
      <c r="C70" s="118"/>
      <c r="D70" s="118"/>
    </row>
    <row r="71" spans="1:4">
      <c r="A71" s="119" t="s">
        <v>1208</v>
      </c>
      <c r="B71" s="119" t="s">
        <v>919</v>
      </c>
      <c r="C71" s="116"/>
      <c r="D71" s="118"/>
    </row>
    <row r="72" spans="1:4">
      <c r="A72" s="119" t="s">
        <v>1209</v>
      </c>
      <c r="B72" s="119" t="s">
        <v>989</v>
      </c>
      <c r="C72" s="118"/>
      <c r="D72" s="118"/>
    </row>
    <row r="73" spans="1:4">
      <c r="A73" s="119" t="s">
        <v>1210</v>
      </c>
      <c r="B73" s="119" t="s">
        <v>991</v>
      </c>
      <c r="C73" s="116"/>
      <c r="D73" s="118"/>
    </row>
    <row r="74" spans="1:4">
      <c r="A74" s="119" t="s">
        <v>1211</v>
      </c>
      <c r="B74" s="119" t="s">
        <v>993</v>
      </c>
      <c r="C74" s="118"/>
      <c r="D74" s="118"/>
    </row>
    <row r="75" spans="1:4">
      <c r="A75" s="119" t="s">
        <v>1212</v>
      </c>
      <c r="B75" s="119" t="s">
        <v>995</v>
      </c>
      <c r="C75" s="116"/>
      <c r="D75" s="118"/>
    </row>
    <row r="76" spans="1:4">
      <c r="A76" s="119" t="s">
        <v>983</v>
      </c>
      <c r="B76" s="119" t="s">
        <v>1213</v>
      </c>
      <c r="C76" s="118" t="s">
        <v>1173</v>
      </c>
      <c r="D76" s="118"/>
    </row>
    <row r="77" spans="1:4">
      <c r="A77" s="119" t="s">
        <v>1214</v>
      </c>
      <c r="B77" s="119" t="s">
        <v>1215</v>
      </c>
      <c r="C77" s="116" t="s">
        <v>1173</v>
      </c>
      <c r="D77" s="118"/>
    </row>
    <row r="78" spans="1:4">
      <c r="A78" s="119" t="s">
        <v>1216</v>
      </c>
      <c r="B78" s="119" t="s">
        <v>1006</v>
      </c>
      <c r="C78" s="118"/>
      <c r="D78" s="118"/>
    </row>
    <row r="79" spans="1:4">
      <c r="A79" s="119" t="s">
        <v>1217</v>
      </c>
      <c r="B79" s="119" t="s">
        <v>1009</v>
      </c>
      <c r="C79" s="116"/>
      <c r="D79" s="118"/>
    </row>
    <row r="80" spans="1:4">
      <c r="A80" s="119" t="s">
        <v>1218</v>
      </c>
      <c r="B80" s="119" t="s">
        <v>997</v>
      </c>
      <c r="C80" s="118"/>
      <c r="D80" s="118"/>
    </row>
    <row r="81" spans="1:4">
      <c r="A81" s="119" t="s">
        <v>1219</v>
      </c>
      <c r="B81" s="119" t="s">
        <v>1106</v>
      </c>
      <c r="C81" s="116"/>
      <c r="D81" s="118"/>
    </row>
    <row r="82" spans="1:4">
      <c r="A82" s="119" t="s">
        <v>1220</v>
      </c>
      <c r="B82" s="119" t="s">
        <v>962</v>
      </c>
      <c r="C82" s="118"/>
      <c r="D82" s="118"/>
    </row>
    <row r="83" spans="1:4">
      <c r="A83" s="119" t="s">
        <v>1221</v>
      </c>
      <c r="B83" s="119" t="s">
        <v>964</v>
      </c>
      <c r="C83" s="116"/>
      <c r="D83" s="118"/>
    </row>
    <row r="84" spans="1:4">
      <c r="A84" s="119" t="s">
        <v>1221</v>
      </c>
      <c r="B84" s="119" t="s">
        <v>1222</v>
      </c>
      <c r="C84" s="118" t="s">
        <v>1173</v>
      </c>
      <c r="D84" s="118"/>
    </row>
    <row r="85" spans="1:4">
      <c r="A85" s="119" t="s">
        <v>972</v>
      </c>
      <c r="B85" s="119" t="s">
        <v>1223</v>
      </c>
      <c r="C85" s="116" t="s">
        <v>1173</v>
      </c>
      <c r="D85" s="118"/>
    </row>
    <row r="86" spans="1:4">
      <c r="A86" s="119" t="s">
        <v>1090</v>
      </c>
      <c r="B86" s="119" t="s">
        <v>1089</v>
      </c>
      <c r="C86" s="118"/>
      <c r="D86" s="118"/>
    </row>
    <row r="87" spans="1:4">
      <c r="A87" s="119" t="s">
        <v>1224</v>
      </c>
      <c r="B87" s="119" t="s">
        <v>1088</v>
      </c>
      <c r="C87" s="116"/>
      <c r="D87" s="118"/>
    </row>
    <row r="88" spans="1:4">
      <c r="A88" s="119" t="s">
        <v>1225</v>
      </c>
      <c r="B88" s="119" t="s">
        <v>1087</v>
      </c>
      <c r="C88" s="118"/>
      <c r="D88" s="118"/>
    </row>
    <row r="89" spans="1:4">
      <c r="A89" s="119" t="s">
        <v>1226</v>
      </c>
      <c r="B89" s="119" t="s">
        <v>1086</v>
      </c>
      <c r="C89" s="116"/>
      <c r="D89" s="118"/>
    </row>
    <row r="90" spans="1:4">
      <c r="A90" s="119" t="s">
        <v>1227</v>
      </c>
      <c r="B90" s="119" t="s">
        <v>880</v>
      </c>
      <c r="C90" s="118"/>
      <c r="D90" s="118"/>
    </row>
    <row r="91" spans="1:4">
      <c r="A91" s="119" t="s">
        <v>1083</v>
      </c>
      <c r="B91" s="119" t="s">
        <v>1028</v>
      </c>
      <c r="C91" s="116"/>
      <c r="D91" s="118"/>
    </row>
    <row r="92" spans="1:4">
      <c r="A92" s="119" t="s">
        <v>1228</v>
      </c>
      <c r="B92" s="119" t="s">
        <v>1034</v>
      </c>
      <c r="C92" s="118"/>
      <c r="D92" s="118"/>
    </row>
    <row r="93" spans="1:4">
      <c r="A93" s="119" t="s">
        <v>1229</v>
      </c>
      <c r="B93" s="119" t="s">
        <v>966</v>
      </c>
      <c r="C93" s="116"/>
      <c r="D93" s="118"/>
    </row>
    <row r="94" spans="1:4">
      <c r="A94" s="119" t="s">
        <v>1230</v>
      </c>
      <c r="B94" s="119" t="s">
        <v>968</v>
      </c>
      <c r="C94" s="118"/>
      <c r="D94" s="118"/>
    </row>
    <row r="95" spans="1:4">
      <c r="A95" s="119" t="s">
        <v>1231</v>
      </c>
      <c r="B95" s="119" t="s">
        <v>1048</v>
      </c>
      <c r="C95" s="116"/>
      <c r="D95" s="118"/>
    </row>
    <row r="96" spans="1:4">
      <c r="A96" s="119" t="s">
        <v>1232</v>
      </c>
      <c r="B96" s="119" t="s">
        <v>1044</v>
      </c>
      <c r="C96" s="118"/>
      <c r="D96" s="118"/>
    </row>
    <row r="97" spans="1:4">
      <c r="A97" s="119" t="s">
        <v>1233</v>
      </c>
      <c r="B97" s="119" t="s">
        <v>1046</v>
      </c>
      <c r="C97" s="116"/>
      <c r="D97" s="118"/>
    </row>
    <row r="98" spans="1:4">
      <c r="A98" s="119" t="s">
        <v>1234</v>
      </c>
      <c r="B98" s="119" t="s">
        <v>1082</v>
      </c>
      <c r="C98" s="118"/>
      <c r="D98" s="118"/>
    </row>
    <row r="99" spans="1:4">
      <c r="A99" s="119" t="s">
        <v>1235</v>
      </c>
      <c r="B99" s="119" t="s">
        <v>1040</v>
      </c>
      <c r="C99" s="116"/>
      <c r="D99" s="118"/>
    </row>
    <row r="100" spans="1:4">
      <c r="A100" s="119" t="s">
        <v>1236</v>
      </c>
      <c r="B100" s="119" t="s">
        <v>1237</v>
      </c>
      <c r="C100" s="118"/>
      <c r="D100" s="118"/>
    </row>
    <row r="101" spans="1:4">
      <c r="A101" s="119" t="s">
        <v>1238</v>
      </c>
      <c r="B101" s="119" t="s">
        <v>1239</v>
      </c>
      <c r="C101" s="116"/>
      <c r="D101" s="118"/>
    </row>
    <row r="102" spans="1:4">
      <c r="A102" s="119" t="s">
        <v>1240</v>
      </c>
      <c r="B102" s="119" t="s">
        <v>950</v>
      </c>
      <c r="C102" s="118"/>
      <c r="D102" s="118"/>
    </row>
    <row r="103" spans="1:4">
      <c r="A103" s="119" t="s">
        <v>1241</v>
      </c>
      <c r="B103" s="119" t="s">
        <v>1242</v>
      </c>
      <c r="C103" s="116" t="s">
        <v>1173</v>
      </c>
      <c r="D103" s="118"/>
    </row>
    <row r="104" spans="1:4">
      <c r="A104" s="119" t="s">
        <v>1243</v>
      </c>
      <c r="B104" s="119" t="s">
        <v>1095</v>
      </c>
      <c r="C104" s="118"/>
      <c r="D104" s="118"/>
    </row>
    <row r="105" spans="1:4">
      <c r="A105" s="119" t="s">
        <v>1244</v>
      </c>
      <c r="B105" s="119" t="s">
        <v>1081</v>
      </c>
      <c r="C105" s="116"/>
      <c r="D105" s="118"/>
    </row>
    <row r="106" spans="1:4">
      <c r="A106" s="119" t="s">
        <v>1245</v>
      </c>
      <c r="B106" s="119" t="s">
        <v>1080</v>
      </c>
      <c r="C106" s="118"/>
      <c r="D106" s="118"/>
    </row>
    <row r="107" spans="1:4">
      <c r="A107" s="119" t="s">
        <v>1246</v>
      </c>
      <c r="B107" s="119" t="s">
        <v>1079</v>
      </c>
      <c r="C107" s="116"/>
      <c r="D107" s="118"/>
    </row>
    <row r="108" spans="1:4">
      <c r="A108" s="119" t="s">
        <v>1247</v>
      </c>
      <c r="B108" s="119" t="s">
        <v>1078</v>
      </c>
      <c r="C108" s="118"/>
      <c r="D108" s="118"/>
    </row>
    <row r="109" spans="1:4">
      <c r="A109" s="119" t="s">
        <v>1248</v>
      </c>
      <c r="B109" s="119" t="s">
        <v>1051</v>
      </c>
      <c r="C109" s="116"/>
      <c r="D109" s="118"/>
    </row>
    <row r="110" spans="1:4">
      <c r="A110" s="119" t="s">
        <v>1249</v>
      </c>
      <c r="B110" s="119" t="s">
        <v>1053</v>
      </c>
      <c r="C110" s="118"/>
      <c r="D110" s="118"/>
    </row>
    <row r="111" spans="1:4">
      <c r="A111" s="119" t="s">
        <v>1182</v>
      </c>
      <c r="B111" s="119" t="s">
        <v>1109</v>
      </c>
      <c r="C111" s="118"/>
      <c r="D111" s="118" t="s">
        <v>1250</v>
      </c>
    </row>
    <row r="112" spans="1:4">
      <c r="A112" s="119" t="s">
        <v>1085</v>
      </c>
      <c r="B112" s="119" t="s">
        <v>1084</v>
      </c>
      <c r="C112" s="116"/>
      <c r="D112" s="118" t="s">
        <v>1250</v>
      </c>
    </row>
    <row r="113" spans="1:4">
      <c r="A113" s="119" t="s">
        <v>1251</v>
      </c>
      <c r="B113" s="119" t="s">
        <v>873</v>
      </c>
      <c r="C113" s="118"/>
      <c r="D113" s="118"/>
    </row>
    <row r="114" spans="1:4">
      <c r="A114" s="119" t="s">
        <v>1252</v>
      </c>
      <c r="B114" s="119" t="s">
        <v>869</v>
      </c>
      <c r="C114" s="116"/>
      <c r="D114" s="118"/>
    </row>
    <row r="115" spans="1:4">
      <c r="A115" s="119" t="s">
        <v>1098</v>
      </c>
      <c r="B115" s="119" t="s">
        <v>833</v>
      </c>
      <c r="C115" s="118"/>
      <c r="D115" s="118"/>
    </row>
    <row r="116" spans="1:4">
      <c r="A116" s="119" t="s">
        <v>1097</v>
      </c>
      <c r="B116" s="119" t="s">
        <v>831</v>
      </c>
      <c r="C116" s="116"/>
      <c r="D116" s="118"/>
    </row>
    <row r="117" spans="1:4">
      <c r="A117" s="119" t="s">
        <v>1105</v>
      </c>
      <c r="B117" s="119" t="s">
        <v>1104</v>
      </c>
      <c r="C117" s="118"/>
      <c r="D117" s="118"/>
    </row>
    <row r="118" spans="1:4">
      <c r="A118" s="119" t="s">
        <v>1102</v>
      </c>
      <c r="B118" s="119" t="s">
        <v>1101</v>
      </c>
      <c r="C118" s="116"/>
      <c r="D118" s="118"/>
    </row>
    <row r="119" spans="1:4">
      <c r="A119" s="119" t="s">
        <v>1253</v>
      </c>
      <c r="B119" s="119" t="s">
        <v>1103</v>
      </c>
      <c r="C119" s="118"/>
      <c r="D119" s="118"/>
    </row>
    <row r="120" spans="1:4">
      <c r="A120" s="119" t="s">
        <v>1254</v>
      </c>
      <c r="B120" s="119" t="s">
        <v>1100</v>
      </c>
      <c r="C120" s="116"/>
      <c r="D120" s="118"/>
    </row>
    <row r="121" spans="1:4">
      <c r="A121" s="119" t="s">
        <v>1099</v>
      </c>
      <c r="B121" s="119" t="s">
        <v>807</v>
      </c>
      <c r="C121" s="118"/>
      <c r="D121" s="118"/>
    </row>
    <row r="122" spans="1:4">
      <c r="A122" s="119" t="s">
        <v>1255</v>
      </c>
      <c r="B122" s="119" t="s">
        <v>819</v>
      </c>
      <c r="C122" s="116"/>
      <c r="D122" s="118"/>
    </row>
    <row r="123" spans="1:4">
      <c r="A123" s="121" t="s">
        <v>1256</v>
      </c>
      <c r="B123" s="121" t="s">
        <v>1257</v>
      </c>
      <c r="C123" s="118"/>
      <c r="D123" s="118"/>
    </row>
    <row r="124" spans="1:4">
      <c r="A124" s="121" t="s">
        <v>1258</v>
      </c>
      <c r="B124" s="121" t="s">
        <v>1259</v>
      </c>
      <c r="C124" s="116"/>
      <c r="D124" s="118"/>
    </row>
    <row r="125" spans="1:4">
      <c r="A125" s="121" t="s">
        <v>1260</v>
      </c>
      <c r="B125" s="121" t="s">
        <v>939</v>
      </c>
      <c r="C125" s="118"/>
      <c r="D125" s="118"/>
    </row>
    <row r="126" spans="1:4">
      <c r="A126" s="121" t="s">
        <v>1261</v>
      </c>
      <c r="B126" s="121" t="s">
        <v>939</v>
      </c>
      <c r="C126" s="116"/>
      <c r="D126" s="118"/>
    </row>
    <row r="127" spans="1:4">
      <c r="A127" s="121" t="s">
        <v>1262</v>
      </c>
      <c r="B127" s="121" t="s">
        <v>939</v>
      </c>
      <c r="C127" s="118"/>
      <c r="D127" s="118"/>
    </row>
    <row r="128" spans="1:4">
      <c r="A128" s="121" t="s">
        <v>1263</v>
      </c>
      <c r="B128" s="121" t="s">
        <v>939</v>
      </c>
      <c r="C128" s="116"/>
      <c r="D128" s="118"/>
    </row>
    <row r="129" spans="1:4">
      <c r="A129" s="121" t="s">
        <v>1264</v>
      </c>
      <c r="B129" s="121" t="s">
        <v>941</v>
      </c>
      <c r="C129" s="118"/>
      <c r="D129" s="118"/>
    </row>
    <row r="130" spans="1:4">
      <c r="A130" s="121" t="s">
        <v>1265</v>
      </c>
      <c r="B130" s="121" t="s">
        <v>941</v>
      </c>
      <c r="C130" s="116"/>
      <c r="D130" s="118"/>
    </row>
    <row r="131" spans="1:4">
      <c r="A131" s="121" t="s">
        <v>1266</v>
      </c>
      <c r="B131" s="121" t="s">
        <v>941</v>
      </c>
      <c r="C131" s="118"/>
      <c r="D131" s="118"/>
    </row>
    <row r="132" spans="1:4">
      <c r="A132" s="121" t="s">
        <v>878</v>
      </c>
      <c r="B132" s="121" t="s">
        <v>878</v>
      </c>
      <c r="C132" s="116"/>
      <c r="D132" s="118"/>
    </row>
    <row r="133" spans="1:4">
      <c r="A133" s="121" t="s">
        <v>974</v>
      </c>
      <c r="B133" s="121" t="s">
        <v>974</v>
      </c>
      <c r="C133" s="118"/>
      <c r="D133" s="118"/>
    </row>
    <row r="134" spans="1:4">
      <c r="A134" s="121" t="s">
        <v>1267</v>
      </c>
      <c r="B134" s="121" t="s">
        <v>948</v>
      </c>
      <c r="C134" s="116"/>
      <c r="D134" s="118"/>
    </row>
    <row r="135" spans="1:4">
      <c r="A135" s="121" t="s">
        <v>923</v>
      </c>
      <c r="B135" s="121" t="s">
        <v>923</v>
      </c>
      <c r="C135" s="118"/>
      <c r="D135" s="118"/>
    </row>
    <row r="136" spans="1:4">
      <c r="A136" s="121" t="s">
        <v>1036</v>
      </c>
      <c r="B136" s="121" t="s">
        <v>1036</v>
      </c>
      <c r="C136" s="116"/>
      <c r="D136" s="118"/>
    </row>
    <row r="137" spans="1:4">
      <c r="A137" s="121" t="s">
        <v>1268</v>
      </c>
      <c r="B137" s="121" t="s">
        <v>1269</v>
      </c>
      <c r="C137" s="118"/>
      <c r="D137" s="118"/>
    </row>
    <row r="138" spans="1:4">
      <c r="A138" s="122" t="s">
        <v>1270</v>
      </c>
      <c r="B138" s="121" t="s">
        <v>1271</v>
      </c>
      <c r="C138" s="116"/>
      <c r="D138" s="118"/>
    </row>
    <row r="139" spans="1:4">
      <c r="A139" s="121" t="s">
        <v>970</v>
      </c>
      <c r="B139" s="121" t="s">
        <v>970</v>
      </c>
      <c r="C139" s="118"/>
      <c r="D139" s="118"/>
    </row>
    <row r="140" spans="1:4">
      <c r="A140" s="121" t="s">
        <v>970</v>
      </c>
      <c r="B140" s="121" t="s">
        <v>1272</v>
      </c>
      <c r="C140" s="116" t="s">
        <v>1173</v>
      </c>
      <c r="D140" s="118"/>
    </row>
    <row r="141" spans="1:4">
      <c r="A141" s="121" t="s">
        <v>955</v>
      </c>
      <c r="B141" s="121" t="s">
        <v>955</v>
      </c>
      <c r="C141" s="118"/>
      <c r="D141" s="118"/>
    </row>
    <row r="142" spans="1:4">
      <c r="A142" s="121" t="s">
        <v>1273</v>
      </c>
      <c r="B142" s="121" t="s">
        <v>1273</v>
      </c>
      <c r="C142" s="116"/>
      <c r="D142" s="118"/>
    </row>
    <row r="143" spans="1:4">
      <c r="A143" s="121" t="s">
        <v>1030</v>
      </c>
      <c r="B143" s="121" t="s">
        <v>1030</v>
      </c>
      <c r="C143" s="118"/>
      <c r="D143" s="118"/>
    </row>
    <row r="144" spans="1:4">
      <c r="A144" s="121" t="s">
        <v>1274</v>
      </c>
      <c r="B144" s="121" t="s">
        <v>928</v>
      </c>
      <c r="C144" s="116"/>
      <c r="D144" s="118"/>
    </row>
    <row r="145" spans="1:4">
      <c r="A145" s="121" t="s">
        <v>921</v>
      </c>
      <c r="B145" s="121" t="s">
        <v>921</v>
      </c>
      <c r="C145" s="118"/>
      <c r="D145" s="118"/>
    </row>
    <row r="146" spans="1:4">
      <c r="A146" s="121" t="s">
        <v>930</v>
      </c>
      <c r="B146" s="121" t="s">
        <v>930</v>
      </c>
      <c r="C146" s="116"/>
      <c r="D146" s="118"/>
    </row>
    <row r="147" spans="1:4">
      <c r="A147" s="121" t="s">
        <v>1275</v>
      </c>
      <c r="B147" s="121" t="s">
        <v>1276</v>
      </c>
      <c r="C147" s="118"/>
      <c r="D147" s="118"/>
    </row>
    <row r="148" spans="1:4">
      <c r="A148" s="121" t="s">
        <v>1277</v>
      </c>
      <c r="B148" s="121" t="s">
        <v>1278</v>
      </c>
      <c r="C148" s="116"/>
      <c r="D148" s="118"/>
    </row>
    <row r="149" spans="1:4">
      <c r="A149" s="121" t="s">
        <v>1279</v>
      </c>
      <c r="B149" s="121" t="s">
        <v>1280</v>
      </c>
      <c r="C149" s="118"/>
      <c r="D149" s="118"/>
    </row>
    <row r="150" spans="1:4">
      <c r="A150" s="121" t="s">
        <v>1281</v>
      </c>
      <c r="B150" s="121" t="s">
        <v>1282</v>
      </c>
      <c r="C150" s="116"/>
      <c r="D150" s="118"/>
    </row>
    <row r="151" spans="1:4">
      <c r="A151" s="121" t="s">
        <v>1281</v>
      </c>
      <c r="B151" s="121" t="s">
        <v>1283</v>
      </c>
      <c r="C151" s="118" t="s">
        <v>1173</v>
      </c>
      <c r="D151" s="118"/>
    </row>
    <row r="152" spans="1:4">
      <c r="A152" s="121" t="s">
        <v>1284</v>
      </c>
      <c r="B152" s="121" t="s">
        <v>1285</v>
      </c>
      <c r="C152" s="116"/>
      <c r="D152" s="118"/>
    </row>
    <row r="153" spans="1:4">
      <c r="A153" s="121" t="s">
        <v>1286</v>
      </c>
      <c r="B153" s="121" t="s">
        <v>1287</v>
      </c>
      <c r="C153" s="118"/>
      <c r="D153" s="118"/>
    </row>
    <row r="154" spans="1:4">
      <c r="A154" s="121" t="s">
        <v>1288</v>
      </c>
      <c r="B154" s="121" t="s">
        <v>1289</v>
      </c>
      <c r="C154" s="116"/>
      <c r="D154" s="118"/>
    </row>
    <row r="155" spans="1:4">
      <c r="A155" s="118" t="s">
        <v>1290</v>
      </c>
      <c r="B155" s="118" t="s">
        <v>1291</v>
      </c>
      <c r="C155" s="118"/>
      <c r="D155" s="118"/>
    </row>
    <row r="156" spans="1:4">
      <c r="A156" s="116" t="s">
        <v>1292</v>
      </c>
      <c r="B156" s="116" t="s">
        <v>1293</v>
      </c>
      <c r="C156" s="116"/>
      <c r="D156" s="118"/>
    </row>
    <row r="157" spans="1:4">
      <c r="A157" s="118" t="s">
        <v>1294</v>
      </c>
      <c r="B157" s="118" t="s">
        <v>1295</v>
      </c>
      <c r="C157" s="118"/>
      <c r="D157" s="118"/>
    </row>
    <row r="158" spans="1:4">
      <c r="A158" s="116" t="s">
        <v>1296</v>
      </c>
      <c r="B158" s="116" t="s">
        <v>1297</v>
      </c>
      <c r="C158" s="116"/>
      <c r="D158" s="118"/>
    </row>
    <row r="159" spans="1:4">
      <c r="A159" s="118" t="s">
        <v>1298</v>
      </c>
      <c r="B159" s="118" t="s">
        <v>1299</v>
      </c>
      <c r="C159" s="118"/>
      <c r="D159" s="118"/>
    </row>
    <row r="160" spans="1:4">
      <c r="A160" s="116" t="s">
        <v>1300</v>
      </c>
      <c r="B160" s="116" t="s">
        <v>1301</v>
      </c>
      <c r="C160" s="116"/>
      <c r="D160" s="118"/>
    </row>
    <row r="161" spans="1:4">
      <c r="A161" s="118" t="s">
        <v>1302</v>
      </c>
      <c r="B161" s="118" t="s">
        <v>1303</v>
      </c>
      <c r="C161" s="118"/>
      <c r="D161" s="118"/>
    </row>
    <row r="162" spans="1:4">
      <c r="A162" s="116" t="s">
        <v>1304</v>
      </c>
      <c r="B162" s="116" t="s">
        <v>1305</v>
      </c>
      <c r="C162" s="116"/>
      <c r="D162" s="118"/>
    </row>
    <row r="163" spans="1:4">
      <c r="A163" s="118" t="s">
        <v>1306</v>
      </c>
      <c r="B163" s="118" t="s">
        <v>1307</v>
      </c>
      <c r="C163" s="118"/>
      <c r="D163" s="118"/>
    </row>
    <row r="164" spans="1:4">
      <c r="A164" s="116" t="s">
        <v>1308</v>
      </c>
      <c r="B164" s="116" t="s">
        <v>1309</v>
      </c>
      <c r="C164" s="116"/>
      <c r="D164" s="118"/>
    </row>
    <row r="165" spans="1:4">
      <c r="A165" s="118" t="s">
        <v>1310</v>
      </c>
      <c r="B165" s="118" t="s">
        <v>1311</v>
      </c>
      <c r="C165" s="118" t="s">
        <v>1173</v>
      </c>
      <c r="D165" s="118"/>
    </row>
    <row r="166" spans="1:4">
      <c r="A166" s="116" t="s">
        <v>1312</v>
      </c>
      <c r="B166" s="116" t="s">
        <v>1313</v>
      </c>
      <c r="C166" s="116"/>
      <c r="D166" s="118"/>
    </row>
    <row r="167" spans="1:4">
      <c r="A167" s="118" t="s">
        <v>1314</v>
      </c>
      <c r="B167" s="118" t="s">
        <v>1315</v>
      </c>
      <c r="C167" s="118"/>
      <c r="D167" s="118"/>
    </row>
    <row r="168" spans="1:4">
      <c r="A168" s="116" t="s">
        <v>1316</v>
      </c>
      <c r="B168" s="116" t="s">
        <v>1317</v>
      </c>
      <c r="C168" s="116"/>
      <c r="D168" s="118"/>
    </row>
    <row r="169" spans="1:4">
      <c r="A169" s="118" t="s">
        <v>1316</v>
      </c>
      <c r="B169" s="118" t="s">
        <v>1318</v>
      </c>
      <c r="C169" s="118" t="s">
        <v>1173</v>
      </c>
      <c r="D169" s="118"/>
    </row>
    <row r="170" spans="1:4">
      <c r="A170" s="116" t="s">
        <v>1319</v>
      </c>
      <c r="B170" s="116" t="s">
        <v>1320</v>
      </c>
      <c r="C170" s="116"/>
      <c r="D170" s="118"/>
    </row>
    <row r="171" spans="1:4">
      <c r="A171" s="118" t="s">
        <v>1321</v>
      </c>
      <c r="B171" s="118" t="s">
        <v>1322</v>
      </c>
      <c r="C171" s="118"/>
      <c r="D171" s="118"/>
    </row>
    <row r="172" spans="1:4">
      <c r="A172" s="116" t="s">
        <v>1323</v>
      </c>
      <c r="B172" s="116" t="s">
        <v>1324</v>
      </c>
      <c r="C172" s="116"/>
      <c r="D172" s="118"/>
    </row>
    <row r="173" spans="1:4">
      <c r="A173" s="118" t="s">
        <v>1325</v>
      </c>
      <c r="B173" s="118" t="s">
        <v>1326</v>
      </c>
      <c r="C173" s="118"/>
      <c r="D173" s="118"/>
    </row>
    <row r="174" spans="1:4">
      <c r="A174" s="116" t="s">
        <v>1327</v>
      </c>
      <c r="B174" s="116" t="s">
        <v>1328</v>
      </c>
      <c r="C174" s="116"/>
      <c r="D174" s="118"/>
    </row>
    <row r="175" spans="1:4">
      <c r="A175" s="118" t="s">
        <v>1329</v>
      </c>
      <c r="B175" s="118" t="s">
        <v>1330</v>
      </c>
      <c r="C175" s="118"/>
      <c r="D175" s="118"/>
    </row>
    <row r="176" spans="1:4">
      <c r="A176" s="116" t="s">
        <v>1331</v>
      </c>
      <c r="B176" s="116" t="s">
        <v>1332</v>
      </c>
      <c r="C176" s="116"/>
      <c r="D176" s="118"/>
    </row>
    <row r="177" spans="1:4">
      <c r="A177" s="118" t="s">
        <v>1333</v>
      </c>
      <c r="B177" s="118" t="s">
        <v>1334</v>
      </c>
      <c r="C177" s="118"/>
      <c r="D177" s="118"/>
    </row>
    <row r="178" spans="1:4">
      <c r="A178" s="116" t="s">
        <v>1335</v>
      </c>
      <c r="B178" s="116" t="s">
        <v>1336</v>
      </c>
      <c r="C178" s="116"/>
      <c r="D178" s="118"/>
    </row>
    <row r="179" spans="1:4">
      <c r="A179" s="123" t="s">
        <v>1337</v>
      </c>
      <c r="B179" s="123" t="s">
        <v>1338</v>
      </c>
      <c r="C179" s="123"/>
      <c r="D179" s="123"/>
    </row>
  </sheetData>
  <phoneticPr fontId="2"/>
  <conditionalFormatting sqref="A1:A1048576">
    <cfRule type="duplicateValues" dxfId="19" priority="1"/>
  </conditionalFormatting>
  <conditionalFormatting sqref="A141">
    <cfRule type="duplicateValues" dxfId="18" priority="4"/>
  </conditionalFormatting>
  <conditionalFormatting sqref="A142">
    <cfRule type="duplicateValues" dxfId="17" priority="6"/>
  </conditionalFormatting>
  <conditionalFormatting sqref="A143">
    <cfRule type="duplicateValues" dxfId="16" priority="5"/>
  </conditionalFormatting>
  <conditionalFormatting sqref="A166">
    <cfRule type="duplicateValues" dxfId="15" priority="3"/>
  </conditionalFormatting>
  <conditionalFormatting sqref="A167">
    <cfRule type="duplicateValues" dxfId="14" priority="2"/>
  </conditionalFormatting>
  <conditionalFormatting sqref="B1">
    <cfRule type="duplicateValues" dxfId="13" priority="7"/>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80664-95BE-4B5C-8A35-AEE636A91E4B}">
  <sheetPr codeName="Sheet4"/>
  <dimension ref="A1:A5"/>
  <sheetViews>
    <sheetView workbookViewId="0">
      <selection activeCell="A5" sqref="A5"/>
    </sheetView>
  </sheetViews>
  <sheetFormatPr defaultRowHeight="18"/>
  <cols>
    <col min="1" max="1" width="68.296875" bestFit="1" customWidth="1"/>
  </cols>
  <sheetData>
    <row r="1" spans="1:1">
      <c r="A1" s="15" t="s">
        <v>1116</v>
      </c>
    </row>
    <row r="2" spans="1:1">
      <c r="A2" t="e">
        <f>$A$1&amp;"\集計データ\"&amp;$A$3</f>
        <v>#REF!</v>
      </c>
    </row>
    <row r="3" spans="1:1">
      <c r="A3" t="e">
        <f>#REF!&amp;#REF!</f>
        <v>#REF!</v>
      </c>
    </row>
    <row r="4" spans="1:1">
      <c r="A4" t="e">
        <f>"【首都圏】様式-販売-1 引取予定表（生産品・ＯＥＭ品）"&amp;$A$3&amp;"集計.xlsx"</f>
        <v>#REF!</v>
      </c>
    </row>
    <row r="5" spans="1:1">
      <c r="A5" t="e">
        <f>"【首都圏】様式-販売-1 引取予定表（仕入品）"&amp;$A$3&amp;"集計.xlsx"</f>
        <v>#REF!</v>
      </c>
    </row>
  </sheetData>
  <phoneticPr fontId="2"/>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401B4-26D9-4437-B25B-E35B7AD233D8}">
  <sheetPr codeName="Sheet10"/>
  <dimension ref="A1:P2"/>
  <sheetViews>
    <sheetView workbookViewId="0">
      <selection sqref="A1:P2"/>
    </sheetView>
  </sheetViews>
  <sheetFormatPr defaultRowHeight="18"/>
  <cols>
    <col min="1" max="1" width="8.5" bestFit="1" customWidth="1"/>
    <col min="4" max="5" width="7" bestFit="1" customWidth="1"/>
    <col min="6" max="6" width="14.3984375" bestFit="1" customWidth="1"/>
    <col min="7" max="7" width="6.09765625" bestFit="1" customWidth="1"/>
    <col min="8" max="8" width="10.59765625" bestFit="1" customWidth="1"/>
    <col min="9" max="10" width="7" bestFit="1" customWidth="1"/>
    <col min="12" max="12" width="10.59765625" bestFit="1" customWidth="1"/>
    <col min="14" max="14" width="10.59765625" bestFit="1" customWidth="1"/>
    <col min="15" max="15" width="10.5" bestFit="1" customWidth="1"/>
    <col min="16" max="16" width="7" bestFit="1" customWidth="1"/>
  </cols>
  <sheetData>
    <row r="1" spans="1:16">
      <c r="A1" t="s">
        <v>1341</v>
      </c>
      <c r="B1" t="s">
        <v>1066</v>
      </c>
      <c r="C1" t="s">
        <v>1342</v>
      </c>
      <c r="D1" t="s">
        <v>1343</v>
      </c>
      <c r="E1" t="s">
        <v>1344</v>
      </c>
      <c r="F1" t="s">
        <v>1340</v>
      </c>
      <c r="G1" t="s">
        <v>1355</v>
      </c>
      <c r="H1" t="s">
        <v>1356</v>
      </c>
      <c r="I1" t="s">
        <v>1068</v>
      </c>
      <c r="J1" t="s">
        <v>589</v>
      </c>
      <c r="K1" t="s">
        <v>1345</v>
      </c>
      <c r="L1" t="s">
        <v>1346</v>
      </c>
      <c r="M1" t="s">
        <v>1347</v>
      </c>
      <c r="N1" t="s">
        <v>1348</v>
      </c>
      <c r="O1" t="s">
        <v>1349</v>
      </c>
      <c r="P1" t="s">
        <v>1069</v>
      </c>
    </row>
    <row r="2" spans="1:16">
      <c r="A2" s="125"/>
      <c r="F2" s="125"/>
      <c r="G2" s="125"/>
      <c r="H2" s="125"/>
    </row>
  </sheetData>
  <phoneticPr fontId="2"/>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057C-6C0E-46D2-85C5-75001015F353}">
  <sheetPr codeName="Sheet9"/>
  <dimension ref="A1:F6"/>
  <sheetViews>
    <sheetView workbookViewId="0">
      <selection activeCell="B3" sqref="B3"/>
    </sheetView>
  </sheetViews>
  <sheetFormatPr defaultRowHeight="18"/>
  <cols>
    <col min="1" max="1" width="21.69921875" bestFit="1" customWidth="1"/>
    <col min="3" max="5" width="7" bestFit="1" customWidth="1"/>
  </cols>
  <sheetData>
    <row r="1" spans="1:6" s="126" customFormat="1">
      <c r="A1" s="124" t="s">
        <v>1341</v>
      </c>
      <c r="B1" s="124" t="s">
        <v>1066</v>
      </c>
      <c r="C1" s="124" t="s">
        <v>1344</v>
      </c>
      <c r="D1" s="124" t="s">
        <v>1068</v>
      </c>
      <c r="E1" s="124" t="s">
        <v>589</v>
      </c>
      <c r="F1" s="124" t="s">
        <v>1345</v>
      </c>
    </row>
    <row r="2" spans="1:6">
      <c r="A2" s="125" t="s">
        <v>1350</v>
      </c>
    </row>
    <row r="3" spans="1:6">
      <c r="A3" s="125" t="s">
        <v>1351</v>
      </c>
    </row>
    <row r="4" spans="1:6">
      <c r="A4" s="125" t="s">
        <v>1352</v>
      </c>
    </row>
    <row r="5" spans="1:6">
      <c r="A5" s="125" t="s">
        <v>1353</v>
      </c>
    </row>
    <row r="6" spans="1:6">
      <c r="A6" s="125" t="s">
        <v>1354</v>
      </c>
    </row>
  </sheetData>
  <phoneticPr fontId="2"/>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4B0F-D754-47E8-9C7E-F4FC86D5A7D4}">
  <sheetPr codeName="Sheet14"/>
  <dimension ref="A1:K304"/>
  <sheetViews>
    <sheetView workbookViewId="0">
      <pane ySplit="4" topLeftCell="A5" activePane="bottomLeft" state="frozen"/>
      <selection pane="bottomLeft" activeCell="A5" sqref="A5"/>
    </sheetView>
  </sheetViews>
  <sheetFormatPr defaultRowHeight="18"/>
  <cols>
    <col min="1" max="1" width="28" style="127" customWidth="1"/>
    <col min="2" max="2" width="10" style="127" customWidth="1"/>
    <col min="3" max="4" width="30" style="127" customWidth="1"/>
    <col min="5" max="5" width="12" style="127" customWidth="1"/>
    <col min="6" max="6" width="16" style="127" customWidth="1"/>
    <col min="7" max="7" width="30" style="127" customWidth="1"/>
    <col min="8" max="8" width="14" style="127" customWidth="1"/>
    <col min="9" max="9" width="12" style="127" customWidth="1"/>
    <col min="10" max="10" width="16" style="127" customWidth="1"/>
    <col min="11" max="11" width="12" style="127" customWidth="1"/>
  </cols>
  <sheetData>
    <row r="1" spans="1:11" ht="24" customHeight="1">
      <c r="A1" s="709" t="s">
        <v>1359</v>
      </c>
      <c r="B1" s="710"/>
      <c r="C1" s="710"/>
      <c r="D1" s="710"/>
      <c r="E1" s="710"/>
      <c r="F1" s="710"/>
      <c r="G1" s="710"/>
      <c r="H1" s="710"/>
      <c r="I1" s="710"/>
      <c r="J1" s="710"/>
      <c r="K1" s="710"/>
    </row>
    <row r="2" spans="1:11" ht="30" customHeight="1">
      <c r="A2" s="711" t="s">
        <v>1360</v>
      </c>
      <c r="B2" s="710"/>
      <c r="C2" s="710"/>
      <c r="D2" s="710"/>
      <c r="E2" s="710"/>
      <c r="F2" s="710"/>
      <c r="G2" s="710"/>
      <c r="H2" s="710"/>
      <c r="I2" s="710"/>
      <c r="J2" s="710"/>
      <c r="K2" s="710"/>
    </row>
    <row r="3" spans="1:11">
      <c r="A3" s="712" t="s">
        <v>1361</v>
      </c>
      <c r="B3" s="710"/>
      <c r="C3" s="710"/>
      <c r="D3" s="710"/>
      <c r="E3" s="710"/>
      <c r="F3" s="710"/>
      <c r="G3" s="710"/>
      <c r="H3" s="710"/>
      <c r="I3" s="710"/>
      <c r="J3" s="710"/>
      <c r="K3" s="710"/>
    </row>
    <row r="4" spans="1:11" ht="24" customHeight="1">
      <c r="A4" s="130" t="s">
        <v>1362</v>
      </c>
      <c r="B4" s="130" t="s">
        <v>1363</v>
      </c>
      <c r="C4" s="130" t="s">
        <v>1364</v>
      </c>
      <c r="D4" s="130" t="s">
        <v>1365</v>
      </c>
      <c r="E4" s="130" t="s">
        <v>1355</v>
      </c>
      <c r="F4" s="130" t="s">
        <v>1356</v>
      </c>
      <c r="G4" s="130" t="s">
        <v>1366</v>
      </c>
      <c r="H4" s="130" t="s">
        <v>1367</v>
      </c>
      <c r="I4" s="130" t="s">
        <v>1368</v>
      </c>
      <c r="J4" s="130" t="s">
        <v>1369</v>
      </c>
      <c r="K4" s="130" t="s">
        <v>1370</v>
      </c>
    </row>
    <row r="5" spans="1:11">
      <c r="A5" s="129" t="e" cm="1" vm="2">
        <f t="array" ref="A5">_xlfn._xlws.PY(0,1,未変換一覧[],未一致一覧,テーブル1[])</f>
        <v>#VALUE!</v>
      </c>
      <c r="B5" s="129"/>
      <c r="C5" s="129"/>
      <c r="D5" s="129"/>
      <c r="E5" s="129"/>
      <c r="F5" s="129"/>
      <c r="G5" s="129"/>
      <c r="H5" s="129"/>
      <c r="I5" s="129"/>
      <c r="J5" s="129"/>
      <c r="K5" s="129"/>
    </row>
    <row r="6" spans="1:11">
      <c r="A6" s="129"/>
      <c r="B6" s="129"/>
      <c r="C6" s="129"/>
      <c r="D6" s="129"/>
      <c r="E6" s="129"/>
      <c r="F6" s="129"/>
      <c r="G6" s="129"/>
      <c r="H6" s="129"/>
      <c r="I6" s="129"/>
      <c r="J6" s="129"/>
      <c r="K6" s="129"/>
    </row>
    <row r="7" spans="1:11">
      <c r="A7" s="129"/>
      <c r="B7" s="129"/>
      <c r="C7" s="129"/>
      <c r="D7" s="129"/>
      <c r="E7" s="129"/>
      <c r="F7" s="129"/>
      <c r="G7" s="129"/>
      <c r="H7" s="129"/>
      <c r="I7" s="129"/>
      <c r="J7" s="129"/>
      <c r="K7" s="129"/>
    </row>
    <row r="8" spans="1:11">
      <c r="A8" s="129"/>
      <c r="B8" s="129"/>
      <c r="C8" s="129"/>
      <c r="D8" s="129"/>
      <c r="E8" s="129"/>
      <c r="F8" s="129"/>
      <c r="G8" s="129"/>
      <c r="H8" s="129"/>
      <c r="I8" s="129"/>
      <c r="J8" s="129"/>
      <c r="K8" s="129"/>
    </row>
    <row r="9" spans="1:11">
      <c r="A9" s="129"/>
      <c r="B9" s="129"/>
      <c r="C9" s="129"/>
      <c r="D9" s="129"/>
      <c r="E9" s="129"/>
      <c r="F9" s="129"/>
      <c r="G9" s="129"/>
      <c r="H9" s="129"/>
      <c r="I9" s="129"/>
      <c r="J9" s="129"/>
      <c r="K9" s="129"/>
    </row>
    <row r="10" spans="1:11" ht="17.399999999999999" customHeight="1">
      <c r="A10" s="129"/>
      <c r="B10" s="129"/>
      <c r="C10" s="129"/>
      <c r="D10" s="129"/>
      <c r="E10" s="129"/>
      <c r="F10" s="129"/>
      <c r="G10" s="129"/>
      <c r="H10" s="129"/>
      <c r="I10" s="129"/>
      <c r="J10" s="129"/>
      <c r="K10" s="129"/>
    </row>
    <row r="11" spans="1:11">
      <c r="A11" s="129"/>
      <c r="B11" s="129"/>
      <c r="C11" s="129"/>
      <c r="D11" s="129"/>
      <c r="E11" s="129"/>
      <c r="F11" s="129"/>
      <c r="G11" s="129"/>
      <c r="H11" s="129"/>
      <c r="I11" s="129"/>
      <c r="J11" s="129"/>
      <c r="K11" s="129"/>
    </row>
    <row r="12" spans="1:11">
      <c r="A12" s="129"/>
      <c r="B12" s="129"/>
      <c r="C12" s="129"/>
      <c r="D12" s="129"/>
      <c r="E12" s="129"/>
      <c r="F12" s="129"/>
      <c r="G12" s="129"/>
      <c r="H12" s="129"/>
      <c r="I12" s="129"/>
      <c r="J12" s="129"/>
      <c r="K12" s="129"/>
    </row>
    <row r="13" spans="1:11">
      <c r="A13" s="129"/>
      <c r="B13" s="129"/>
      <c r="C13" s="129"/>
      <c r="D13" s="129"/>
      <c r="E13" s="129"/>
      <c r="F13" s="129"/>
      <c r="G13" s="129"/>
      <c r="H13" s="129"/>
      <c r="I13" s="129"/>
      <c r="J13" s="129"/>
      <c r="K13" s="129"/>
    </row>
    <row r="14" spans="1:11">
      <c r="A14" s="129"/>
      <c r="B14" s="129"/>
      <c r="C14" s="129"/>
      <c r="D14" s="129"/>
      <c r="E14" s="129"/>
      <c r="F14" s="129"/>
      <c r="G14" s="129"/>
      <c r="H14" s="129"/>
      <c r="I14" s="129"/>
      <c r="J14" s="129"/>
      <c r="K14" s="129"/>
    </row>
    <row r="15" spans="1:11">
      <c r="A15" s="129"/>
      <c r="B15" s="129"/>
      <c r="C15" s="129"/>
      <c r="D15" s="129"/>
      <c r="E15" s="129"/>
      <c r="F15" s="129"/>
      <c r="G15" s="129"/>
      <c r="H15" s="129"/>
      <c r="I15" s="129"/>
      <c r="J15" s="129"/>
      <c r="K15" s="129"/>
    </row>
    <row r="16" spans="1:11">
      <c r="A16" s="129"/>
      <c r="B16" s="129"/>
      <c r="C16" s="129"/>
      <c r="D16" s="129"/>
      <c r="E16" s="129"/>
      <c r="F16" s="129"/>
      <c r="G16" s="129"/>
      <c r="H16" s="129"/>
      <c r="I16" s="129"/>
      <c r="J16" s="129"/>
      <c r="K16" s="129"/>
    </row>
    <row r="17" spans="1:11">
      <c r="A17" s="129"/>
      <c r="B17" s="129"/>
      <c r="C17" s="129"/>
      <c r="D17" s="129"/>
      <c r="E17" s="129"/>
      <c r="F17" s="129"/>
      <c r="G17" s="129"/>
      <c r="H17" s="129"/>
      <c r="I17" s="129"/>
      <c r="J17" s="129"/>
      <c r="K17" s="129"/>
    </row>
    <row r="18" spans="1:11">
      <c r="A18" s="129"/>
      <c r="B18" s="129"/>
      <c r="C18" s="129"/>
      <c r="D18" s="129"/>
      <c r="E18" s="129"/>
      <c r="F18" s="129"/>
      <c r="G18" s="129"/>
      <c r="H18" s="129"/>
      <c r="I18" s="129"/>
      <c r="J18" s="129"/>
      <c r="K18" s="129"/>
    </row>
    <row r="19" spans="1:11">
      <c r="A19" s="129"/>
      <c r="B19" s="129"/>
      <c r="C19" s="129"/>
      <c r="D19" s="129"/>
      <c r="E19" s="129"/>
      <c r="F19" s="129"/>
      <c r="G19" s="129"/>
      <c r="H19" s="129"/>
      <c r="I19" s="129"/>
      <c r="J19" s="129"/>
      <c r="K19" s="129"/>
    </row>
    <row r="20" spans="1:11">
      <c r="A20" s="129"/>
      <c r="B20" s="129"/>
      <c r="C20" s="129"/>
      <c r="D20" s="129"/>
      <c r="E20" s="129"/>
      <c r="F20" s="129"/>
      <c r="G20" s="129"/>
      <c r="H20" s="129"/>
      <c r="I20" s="129"/>
      <c r="J20" s="129"/>
      <c r="K20" s="129"/>
    </row>
    <row r="21" spans="1:11">
      <c r="A21" s="129"/>
      <c r="B21" s="129"/>
      <c r="C21" s="129"/>
      <c r="D21" s="129"/>
      <c r="E21" s="129"/>
      <c r="F21" s="129"/>
      <c r="G21" s="129"/>
      <c r="H21" s="129"/>
      <c r="I21" s="129"/>
      <c r="J21" s="129"/>
      <c r="K21" s="129"/>
    </row>
    <row r="22" spans="1:11">
      <c r="A22" s="129"/>
      <c r="B22" s="129"/>
      <c r="C22" s="129"/>
      <c r="D22" s="129"/>
      <c r="E22" s="129"/>
      <c r="F22" s="129"/>
      <c r="G22" s="129"/>
      <c r="H22" s="129"/>
      <c r="I22" s="129"/>
      <c r="J22" s="129"/>
      <c r="K22" s="129"/>
    </row>
    <row r="23" spans="1:11">
      <c r="A23" s="129"/>
      <c r="B23" s="129"/>
      <c r="C23" s="129"/>
      <c r="D23" s="129"/>
      <c r="E23" s="129"/>
      <c r="F23" s="129"/>
      <c r="G23" s="129"/>
      <c r="H23" s="129"/>
      <c r="I23" s="129"/>
      <c r="J23" s="129"/>
      <c r="K23" s="129"/>
    </row>
    <row r="24" spans="1:11">
      <c r="A24" s="129"/>
      <c r="B24" s="129"/>
      <c r="C24" s="129"/>
      <c r="D24" s="129"/>
      <c r="E24" s="129"/>
      <c r="F24" s="129"/>
      <c r="G24" s="129"/>
      <c r="H24" s="129"/>
      <c r="I24" s="129"/>
      <c r="J24" s="129"/>
      <c r="K24" s="129"/>
    </row>
    <row r="25" spans="1:11">
      <c r="A25" s="129"/>
      <c r="B25" s="129"/>
      <c r="C25" s="129"/>
      <c r="D25" s="129"/>
      <c r="E25" s="129"/>
      <c r="F25" s="129"/>
      <c r="G25" s="129"/>
      <c r="H25" s="129"/>
      <c r="I25" s="129"/>
      <c r="J25" s="129"/>
      <c r="K25" s="129"/>
    </row>
    <row r="26" spans="1:11">
      <c r="A26" s="129"/>
      <c r="B26" s="129"/>
      <c r="C26" s="129"/>
      <c r="D26" s="129"/>
      <c r="E26" s="129"/>
      <c r="F26" s="129"/>
      <c r="G26" s="129"/>
      <c r="H26" s="129"/>
      <c r="I26" s="129"/>
      <c r="J26" s="129"/>
      <c r="K26" s="129"/>
    </row>
    <row r="27" spans="1:11">
      <c r="A27" s="129"/>
      <c r="B27" s="129"/>
      <c r="C27" s="129"/>
      <c r="D27" s="129"/>
      <c r="E27" s="129"/>
      <c r="F27" s="129"/>
      <c r="G27" s="129"/>
      <c r="H27" s="129"/>
      <c r="I27" s="129"/>
      <c r="J27" s="129"/>
      <c r="K27" s="129"/>
    </row>
    <row r="28" spans="1:11">
      <c r="A28" s="129"/>
      <c r="B28" s="129"/>
      <c r="C28" s="129"/>
      <c r="D28" s="129"/>
      <c r="E28" s="129"/>
      <c r="F28" s="129"/>
      <c r="G28" s="129"/>
      <c r="H28" s="129"/>
      <c r="I28" s="129"/>
      <c r="J28" s="129"/>
      <c r="K28" s="129"/>
    </row>
    <row r="29" spans="1:11">
      <c r="A29" s="129"/>
      <c r="B29" s="129"/>
      <c r="C29" s="129"/>
      <c r="D29" s="129"/>
      <c r="E29" s="129"/>
      <c r="F29" s="129"/>
      <c r="G29" s="129"/>
      <c r="H29" s="129"/>
      <c r="I29" s="129"/>
      <c r="J29" s="129"/>
      <c r="K29" s="129"/>
    </row>
    <row r="30" spans="1:11">
      <c r="A30" s="129"/>
      <c r="B30" s="129"/>
      <c r="C30" s="129"/>
      <c r="D30" s="129"/>
      <c r="E30" s="129"/>
      <c r="F30" s="129"/>
      <c r="G30" s="129"/>
      <c r="H30" s="129"/>
      <c r="I30" s="129"/>
      <c r="J30" s="129"/>
      <c r="K30" s="129"/>
    </row>
    <row r="31" spans="1:11">
      <c r="A31" s="129"/>
      <c r="B31" s="129"/>
      <c r="C31" s="129"/>
      <c r="D31" s="129"/>
      <c r="E31" s="129"/>
      <c r="F31" s="129"/>
      <c r="G31" s="129"/>
      <c r="H31" s="129"/>
      <c r="I31" s="129"/>
      <c r="J31" s="129"/>
      <c r="K31" s="129"/>
    </row>
    <row r="32" spans="1:11">
      <c r="A32" s="129"/>
      <c r="B32" s="129"/>
      <c r="C32" s="129"/>
      <c r="D32" s="129"/>
      <c r="E32" s="129"/>
      <c r="F32" s="129"/>
      <c r="G32" s="129"/>
      <c r="H32" s="129"/>
      <c r="I32" s="129"/>
      <c r="J32" s="129"/>
      <c r="K32" s="129"/>
    </row>
    <row r="33" spans="1:11">
      <c r="A33" s="129"/>
      <c r="B33" s="129"/>
      <c r="C33" s="129"/>
      <c r="D33" s="129"/>
      <c r="E33" s="129"/>
      <c r="F33" s="129"/>
      <c r="G33" s="129"/>
      <c r="H33" s="129"/>
      <c r="I33" s="129"/>
      <c r="J33" s="129"/>
      <c r="K33" s="129"/>
    </row>
    <row r="34" spans="1:11">
      <c r="A34" s="129"/>
      <c r="B34" s="129"/>
      <c r="C34" s="129"/>
      <c r="D34" s="129"/>
      <c r="E34" s="129"/>
      <c r="F34" s="129"/>
      <c r="G34" s="129"/>
      <c r="H34" s="129"/>
      <c r="I34" s="129"/>
      <c r="J34" s="129"/>
      <c r="K34" s="129"/>
    </row>
    <row r="35" spans="1:11">
      <c r="A35" s="129"/>
      <c r="B35" s="129"/>
      <c r="C35" s="129"/>
      <c r="D35" s="129"/>
      <c r="E35" s="129"/>
      <c r="F35" s="129"/>
      <c r="G35" s="129"/>
      <c r="H35" s="129"/>
      <c r="I35" s="129"/>
      <c r="J35" s="129"/>
      <c r="K35" s="129"/>
    </row>
    <row r="36" spans="1:11">
      <c r="A36" s="129"/>
      <c r="B36" s="129"/>
      <c r="C36" s="129"/>
      <c r="D36" s="129"/>
      <c r="E36" s="129"/>
      <c r="F36" s="129"/>
      <c r="G36" s="129"/>
      <c r="H36" s="129"/>
      <c r="I36" s="129"/>
      <c r="J36" s="129"/>
      <c r="K36" s="129"/>
    </row>
    <row r="37" spans="1:11">
      <c r="A37" s="129"/>
      <c r="B37" s="129"/>
      <c r="C37" s="129"/>
      <c r="D37" s="129"/>
      <c r="E37" s="129"/>
      <c r="F37" s="129"/>
      <c r="G37" s="129"/>
      <c r="H37" s="129"/>
      <c r="I37" s="129"/>
      <c r="J37" s="129"/>
      <c r="K37" s="129"/>
    </row>
    <row r="38" spans="1:11">
      <c r="A38" s="129"/>
      <c r="B38" s="129"/>
      <c r="C38" s="129"/>
      <c r="D38" s="129"/>
      <c r="E38" s="129"/>
      <c r="F38" s="129"/>
      <c r="G38" s="129"/>
      <c r="H38" s="129"/>
      <c r="I38" s="129"/>
      <c r="J38" s="129"/>
      <c r="K38" s="129"/>
    </row>
    <row r="39" spans="1:11">
      <c r="A39" s="129"/>
      <c r="B39" s="129"/>
      <c r="C39" s="129"/>
      <c r="D39" s="129"/>
      <c r="E39" s="129"/>
      <c r="F39" s="129"/>
      <c r="G39" s="129"/>
      <c r="H39" s="129"/>
      <c r="I39" s="129"/>
      <c r="J39" s="129"/>
      <c r="K39" s="129"/>
    </row>
    <row r="40" spans="1:11">
      <c r="A40" s="129"/>
      <c r="B40" s="129"/>
      <c r="C40" s="129"/>
      <c r="D40" s="129"/>
      <c r="E40" s="129"/>
      <c r="F40" s="129"/>
      <c r="G40" s="129"/>
      <c r="H40" s="129"/>
      <c r="I40" s="129"/>
      <c r="J40" s="129"/>
      <c r="K40" s="129"/>
    </row>
    <row r="41" spans="1:11">
      <c r="A41" s="129"/>
      <c r="B41" s="129"/>
      <c r="C41" s="129"/>
      <c r="D41" s="129"/>
      <c r="E41" s="129"/>
      <c r="F41" s="129"/>
      <c r="G41" s="129"/>
      <c r="H41" s="129"/>
      <c r="I41" s="129"/>
      <c r="J41" s="129"/>
      <c r="K41" s="129"/>
    </row>
    <row r="42" spans="1:11">
      <c r="A42" s="129"/>
      <c r="B42" s="129"/>
      <c r="C42" s="129"/>
      <c r="D42" s="129"/>
      <c r="E42" s="129"/>
      <c r="F42" s="129"/>
      <c r="G42" s="129"/>
      <c r="H42" s="129"/>
      <c r="I42" s="129"/>
      <c r="J42" s="129"/>
      <c r="K42" s="129"/>
    </row>
    <row r="43" spans="1:11">
      <c r="A43" s="129"/>
      <c r="B43" s="129"/>
      <c r="C43" s="129"/>
      <c r="D43" s="129"/>
      <c r="E43" s="129"/>
      <c r="F43" s="129"/>
      <c r="G43" s="129"/>
      <c r="H43" s="129"/>
      <c r="I43" s="129"/>
      <c r="J43" s="129"/>
      <c r="K43" s="129"/>
    </row>
    <row r="44" spans="1:11">
      <c r="A44" s="129"/>
      <c r="B44" s="129"/>
      <c r="C44" s="129"/>
      <c r="D44" s="129"/>
      <c r="E44" s="129"/>
      <c r="F44" s="129"/>
      <c r="G44" s="129"/>
      <c r="H44" s="129"/>
      <c r="I44" s="129"/>
      <c r="J44" s="129"/>
      <c r="K44" s="129"/>
    </row>
    <row r="45" spans="1:11">
      <c r="A45" s="129"/>
      <c r="B45" s="129"/>
      <c r="C45" s="129"/>
      <c r="D45" s="129"/>
      <c r="E45" s="129"/>
      <c r="F45" s="129"/>
      <c r="G45" s="129"/>
      <c r="H45" s="129"/>
      <c r="I45" s="129"/>
      <c r="J45" s="129"/>
      <c r="K45" s="129"/>
    </row>
    <row r="46" spans="1:11">
      <c r="A46" s="129"/>
      <c r="B46" s="129"/>
      <c r="C46" s="129"/>
      <c r="D46" s="129"/>
      <c r="E46" s="129"/>
      <c r="F46" s="129"/>
      <c r="G46" s="129"/>
      <c r="H46" s="129"/>
      <c r="I46" s="129"/>
      <c r="J46" s="129"/>
      <c r="K46" s="129"/>
    </row>
    <row r="47" spans="1:11">
      <c r="A47" s="129"/>
      <c r="B47" s="129"/>
      <c r="C47" s="129"/>
      <c r="D47" s="129"/>
      <c r="E47" s="129"/>
      <c r="F47" s="129"/>
      <c r="G47" s="129"/>
      <c r="H47" s="129"/>
      <c r="I47" s="129"/>
      <c r="J47" s="129"/>
      <c r="K47" s="129"/>
    </row>
    <row r="48" spans="1:11">
      <c r="A48" s="129"/>
      <c r="B48" s="129"/>
      <c r="C48" s="129"/>
      <c r="D48" s="129"/>
      <c r="E48" s="129"/>
      <c r="F48" s="129"/>
      <c r="G48" s="129"/>
      <c r="H48" s="129"/>
      <c r="I48" s="129"/>
      <c r="J48" s="129"/>
      <c r="K48" s="129"/>
    </row>
    <row r="49" spans="1:11">
      <c r="A49" s="129"/>
      <c r="B49" s="129"/>
      <c r="C49" s="129"/>
      <c r="D49" s="129"/>
      <c r="E49" s="129"/>
      <c r="F49" s="129"/>
      <c r="G49" s="129"/>
      <c r="H49" s="129"/>
      <c r="I49" s="129"/>
      <c r="J49" s="129"/>
      <c r="K49" s="129"/>
    </row>
    <row r="50" spans="1:11">
      <c r="A50" s="129"/>
      <c r="B50" s="129"/>
      <c r="C50" s="129"/>
      <c r="D50" s="129"/>
      <c r="E50" s="129"/>
      <c r="F50" s="129"/>
      <c r="G50" s="129"/>
      <c r="H50" s="129"/>
      <c r="I50" s="129"/>
      <c r="J50" s="129"/>
      <c r="K50" s="129"/>
    </row>
    <row r="51" spans="1:11">
      <c r="A51" s="129"/>
      <c r="B51" s="129"/>
      <c r="C51" s="129"/>
      <c r="D51" s="129"/>
      <c r="E51" s="129"/>
      <c r="F51" s="129"/>
      <c r="G51" s="129"/>
      <c r="H51" s="129"/>
      <c r="I51" s="129"/>
      <c r="J51" s="129"/>
      <c r="K51" s="129"/>
    </row>
    <row r="52" spans="1:11">
      <c r="A52" s="129"/>
      <c r="B52" s="129"/>
      <c r="C52" s="129"/>
      <c r="D52" s="129"/>
      <c r="E52" s="129"/>
      <c r="F52" s="129"/>
      <c r="G52" s="129"/>
      <c r="H52" s="129"/>
      <c r="I52" s="129"/>
      <c r="J52" s="129"/>
      <c r="K52" s="129"/>
    </row>
    <row r="53" spans="1:11">
      <c r="A53" s="129"/>
      <c r="B53" s="129"/>
      <c r="C53" s="129"/>
      <c r="D53" s="129"/>
      <c r="E53" s="129"/>
      <c r="F53" s="129"/>
      <c r="G53" s="129"/>
      <c r="H53" s="129"/>
      <c r="I53" s="129"/>
      <c r="J53" s="129"/>
      <c r="K53" s="129"/>
    </row>
    <row r="54" spans="1:11">
      <c r="A54" s="129"/>
      <c r="B54" s="129"/>
      <c r="C54" s="129"/>
      <c r="D54" s="129"/>
      <c r="E54" s="129"/>
      <c r="F54" s="129"/>
      <c r="G54" s="129"/>
      <c r="H54" s="129"/>
      <c r="I54" s="129"/>
      <c r="J54" s="129"/>
      <c r="K54" s="129"/>
    </row>
    <row r="55" spans="1:11">
      <c r="A55" s="129"/>
      <c r="B55" s="129"/>
      <c r="C55" s="129"/>
      <c r="D55" s="129"/>
      <c r="E55" s="129"/>
      <c r="F55" s="129"/>
      <c r="G55" s="129"/>
      <c r="H55" s="129"/>
      <c r="I55" s="129"/>
      <c r="J55" s="129"/>
      <c r="K55" s="129"/>
    </row>
    <row r="56" spans="1:11">
      <c r="A56" s="129"/>
      <c r="B56" s="129"/>
      <c r="C56" s="129"/>
      <c r="D56" s="129"/>
      <c r="E56" s="129"/>
      <c r="F56" s="129"/>
      <c r="G56" s="129"/>
      <c r="H56" s="129"/>
      <c r="I56" s="129"/>
      <c r="J56" s="129"/>
      <c r="K56" s="129"/>
    </row>
    <row r="57" spans="1:11">
      <c r="A57" s="129"/>
      <c r="B57" s="129"/>
      <c r="C57" s="129"/>
      <c r="D57" s="129"/>
      <c r="E57" s="129"/>
      <c r="F57" s="129"/>
      <c r="G57" s="129"/>
      <c r="H57" s="129"/>
      <c r="I57" s="129"/>
      <c r="J57" s="129"/>
      <c r="K57" s="129"/>
    </row>
    <row r="58" spans="1:11">
      <c r="A58" s="129"/>
      <c r="B58" s="129"/>
      <c r="C58" s="129"/>
      <c r="D58" s="129"/>
      <c r="E58" s="129"/>
      <c r="F58" s="129"/>
      <c r="G58" s="129"/>
      <c r="H58" s="129"/>
      <c r="I58" s="129"/>
      <c r="J58" s="129"/>
      <c r="K58" s="129"/>
    </row>
    <row r="59" spans="1:11">
      <c r="A59" s="129"/>
      <c r="B59" s="129"/>
      <c r="C59" s="129"/>
      <c r="D59" s="129"/>
      <c r="E59" s="129"/>
      <c r="F59" s="129"/>
      <c r="G59" s="129"/>
      <c r="H59" s="129"/>
      <c r="I59" s="129"/>
      <c r="J59" s="129"/>
      <c r="K59" s="129"/>
    </row>
    <row r="60" spans="1:11">
      <c r="A60" s="129"/>
      <c r="B60" s="129"/>
      <c r="C60" s="129"/>
      <c r="D60" s="129"/>
      <c r="E60" s="129"/>
      <c r="F60" s="129"/>
      <c r="G60" s="129"/>
      <c r="H60" s="129"/>
      <c r="I60" s="129"/>
      <c r="J60" s="129"/>
      <c r="K60" s="129"/>
    </row>
    <row r="61" spans="1:11">
      <c r="A61" s="129"/>
      <c r="B61" s="129"/>
      <c r="C61" s="129"/>
      <c r="D61" s="129"/>
      <c r="E61" s="129"/>
      <c r="F61" s="129"/>
      <c r="G61" s="129"/>
      <c r="H61" s="129"/>
      <c r="I61" s="129"/>
      <c r="J61" s="129"/>
      <c r="K61" s="129"/>
    </row>
    <row r="62" spans="1:11">
      <c r="A62" s="129"/>
      <c r="B62" s="129"/>
      <c r="C62" s="129"/>
      <c r="D62" s="129"/>
      <c r="E62" s="129"/>
      <c r="F62" s="129"/>
      <c r="G62" s="129"/>
      <c r="H62" s="129"/>
      <c r="I62" s="129"/>
      <c r="J62" s="129"/>
      <c r="K62" s="129"/>
    </row>
    <row r="63" spans="1:11">
      <c r="A63" s="129"/>
      <c r="B63" s="129"/>
      <c r="C63" s="129"/>
      <c r="D63" s="129"/>
      <c r="E63" s="129"/>
      <c r="F63" s="129"/>
      <c r="G63" s="129"/>
      <c r="H63" s="129"/>
      <c r="I63" s="129"/>
      <c r="J63" s="129"/>
      <c r="K63" s="129"/>
    </row>
    <row r="64" spans="1:11">
      <c r="A64" s="129"/>
      <c r="B64" s="129"/>
      <c r="C64" s="129"/>
      <c r="D64" s="129"/>
      <c r="E64" s="129"/>
      <c r="F64" s="129"/>
      <c r="G64" s="129"/>
      <c r="H64" s="129"/>
      <c r="I64" s="129"/>
      <c r="J64" s="129"/>
      <c r="K64" s="129"/>
    </row>
    <row r="65" spans="1:11">
      <c r="A65" s="129"/>
      <c r="B65" s="129"/>
      <c r="C65" s="129"/>
      <c r="D65" s="129"/>
      <c r="E65" s="129"/>
      <c r="F65" s="129"/>
      <c r="G65" s="129"/>
      <c r="H65" s="129"/>
      <c r="I65" s="129"/>
      <c r="J65" s="129"/>
      <c r="K65" s="129"/>
    </row>
    <row r="66" spans="1:11">
      <c r="A66" s="129"/>
      <c r="B66" s="129"/>
      <c r="C66" s="129"/>
      <c r="D66" s="129"/>
      <c r="E66" s="129"/>
      <c r="F66" s="129"/>
      <c r="G66" s="129"/>
      <c r="H66" s="129"/>
      <c r="I66" s="129"/>
      <c r="J66" s="129"/>
      <c r="K66" s="129"/>
    </row>
    <row r="67" spans="1:11">
      <c r="A67" s="129"/>
      <c r="B67" s="129"/>
      <c r="C67" s="129"/>
      <c r="D67" s="129"/>
      <c r="E67" s="129"/>
      <c r="F67" s="129"/>
      <c r="G67" s="129"/>
      <c r="H67" s="129"/>
      <c r="I67" s="129"/>
      <c r="J67" s="129"/>
      <c r="K67" s="129"/>
    </row>
    <row r="68" spans="1:11">
      <c r="A68" s="129"/>
      <c r="B68" s="129"/>
      <c r="C68" s="129"/>
      <c r="D68" s="129"/>
      <c r="E68" s="129"/>
      <c r="F68" s="129"/>
      <c r="G68" s="129"/>
      <c r="H68" s="129"/>
      <c r="I68" s="129"/>
      <c r="J68" s="129"/>
      <c r="K68" s="129"/>
    </row>
    <row r="69" spans="1:11">
      <c r="A69" s="129"/>
      <c r="B69" s="129"/>
      <c r="C69" s="129"/>
      <c r="D69" s="129"/>
      <c r="E69" s="129"/>
      <c r="F69" s="129"/>
      <c r="G69" s="129"/>
      <c r="H69" s="129"/>
      <c r="I69" s="129"/>
      <c r="J69" s="129"/>
      <c r="K69" s="129"/>
    </row>
    <row r="70" spans="1:11">
      <c r="A70" s="129"/>
      <c r="B70" s="129"/>
      <c r="C70" s="129"/>
      <c r="D70" s="129"/>
      <c r="E70" s="129"/>
      <c r="F70" s="129"/>
      <c r="G70" s="129"/>
      <c r="H70" s="129"/>
      <c r="I70" s="129"/>
      <c r="J70" s="129"/>
      <c r="K70" s="129"/>
    </row>
    <row r="71" spans="1:11">
      <c r="A71" s="129"/>
      <c r="B71" s="129"/>
      <c r="C71" s="129"/>
      <c r="D71" s="129"/>
      <c r="E71" s="129"/>
      <c r="F71" s="129"/>
      <c r="G71" s="129"/>
      <c r="H71" s="129"/>
      <c r="I71" s="129"/>
      <c r="J71" s="129"/>
      <c r="K71" s="129"/>
    </row>
    <row r="72" spans="1:11">
      <c r="A72" s="129"/>
      <c r="B72" s="129"/>
      <c r="C72" s="129"/>
      <c r="D72" s="129"/>
      <c r="E72" s="129"/>
      <c r="F72" s="129"/>
      <c r="G72" s="129"/>
      <c r="H72" s="129"/>
      <c r="I72" s="129"/>
      <c r="J72" s="129"/>
      <c r="K72" s="129"/>
    </row>
    <row r="73" spans="1:11">
      <c r="A73" s="129"/>
      <c r="B73" s="129"/>
      <c r="C73" s="129"/>
      <c r="D73" s="129"/>
      <c r="E73" s="129"/>
      <c r="F73" s="129"/>
      <c r="G73" s="129"/>
      <c r="H73" s="129"/>
      <c r="I73" s="129"/>
      <c r="J73" s="129"/>
      <c r="K73" s="129"/>
    </row>
    <row r="74" spans="1:11">
      <c r="A74" s="129"/>
      <c r="B74" s="129"/>
      <c r="C74" s="129"/>
      <c r="D74" s="129"/>
      <c r="E74" s="129"/>
      <c r="F74" s="129"/>
      <c r="G74" s="129"/>
      <c r="H74" s="129"/>
      <c r="I74" s="129"/>
      <c r="J74" s="129"/>
      <c r="K74" s="129"/>
    </row>
    <row r="75" spans="1:11">
      <c r="A75" s="129"/>
      <c r="B75" s="129"/>
      <c r="C75" s="129"/>
      <c r="D75" s="129"/>
      <c r="E75" s="129"/>
      <c r="F75" s="129"/>
      <c r="G75" s="129"/>
      <c r="H75" s="129"/>
      <c r="I75" s="129"/>
      <c r="J75" s="129"/>
      <c r="K75" s="129"/>
    </row>
    <row r="76" spans="1:11">
      <c r="A76" s="129"/>
      <c r="B76" s="129"/>
      <c r="C76" s="129"/>
      <c r="D76" s="129"/>
      <c r="E76" s="129"/>
      <c r="F76" s="129"/>
      <c r="G76" s="129"/>
      <c r="H76" s="129"/>
      <c r="I76" s="129"/>
      <c r="J76" s="129"/>
      <c r="K76" s="129"/>
    </row>
    <row r="77" spans="1:11">
      <c r="A77" s="129"/>
      <c r="B77" s="129"/>
      <c r="C77" s="129"/>
      <c r="D77" s="129"/>
      <c r="E77" s="129"/>
      <c r="F77" s="129"/>
      <c r="G77" s="129"/>
      <c r="H77" s="129"/>
      <c r="I77" s="129"/>
      <c r="J77" s="129"/>
      <c r="K77" s="129"/>
    </row>
    <row r="78" spans="1:11">
      <c r="A78" s="129"/>
      <c r="B78" s="129"/>
      <c r="C78" s="129"/>
      <c r="D78" s="129"/>
      <c r="E78" s="129"/>
      <c r="F78" s="129"/>
      <c r="G78" s="129"/>
      <c r="H78" s="129"/>
      <c r="I78" s="129"/>
      <c r="J78" s="129"/>
      <c r="K78" s="129"/>
    </row>
    <row r="79" spans="1:11">
      <c r="A79" s="129"/>
      <c r="B79" s="129"/>
      <c r="C79" s="129"/>
      <c r="D79" s="129"/>
      <c r="E79" s="129"/>
      <c r="F79" s="129"/>
      <c r="G79" s="129"/>
      <c r="H79" s="129"/>
      <c r="I79" s="129"/>
      <c r="J79" s="129"/>
      <c r="K79" s="129"/>
    </row>
    <row r="80" spans="1:11">
      <c r="A80" s="129"/>
      <c r="B80" s="129"/>
      <c r="C80" s="129"/>
      <c r="D80" s="129"/>
      <c r="E80" s="129"/>
      <c r="F80" s="129"/>
      <c r="G80" s="129"/>
      <c r="H80" s="129"/>
      <c r="I80" s="129"/>
      <c r="J80" s="129"/>
      <c r="K80" s="129"/>
    </row>
    <row r="81" spans="1:11">
      <c r="A81" s="129"/>
      <c r="B81" s="129"/>
      <c r="C81" s="129"/>
      <c r="D81" s="129"/>
      <c r="E81" s="129"/>
      <c r="F81" s="129"/>
      <c r="G81" s="129"/>
      <c r="H81" s="129"/>
      <c r="I81" s="129"/>
      <c r="J81" s="129"/>
      <c r="K81" s="129"/>
    </row>
    <row r="82" spans="1:11">
      <c r="A82" s="129"/>
      <c r="B82" s="129"/>
      <c r="C82" s="129"/>
      <c r="D82" s="129"/>
      <c r="E82" s="129"/>
      <c r="F82" s="129"/>
      <c r="G82" s="129"/>
      <c r="H82" s="129"/>
      <c r="I82" s="129"/>
      <c r="J82" s="129"/>
      <c r="K82" s="129"/>
    </row>
    <row r="83" spans="1:11">
      <c r="A83" s="129"/>
      <c r="B83" s="129"/>
      <c r="C83" s="129"/>
      <c r="D83" s="129"/>
      <c r="E83" s="129"/>
      <c r="F83" s="129"/>
      <c r="G83" s="129"/>
      <c r="H83" s="129"/>
      <c r="I83" s="129"/>
      <c r="J83" s="129"/>
      <c r="K83" s="129"/>
    </row>
    <row r="84" spans="1:11">
      <c r="A84" s="129"/>
      <c r="B84" s="129"/>
      <c r="C84" s="129"/>
      <c r="D84" s="129"/>
      <c r="E84" s="129"/>
      <c r="F84" s="129"/>
      <c r="G84" s="129"/>
      <c r="H84" s="129"/>
      <c r="I84" s="129"/>
      <c r="J84" s="129"/>
      <c r="K84" s="129"/>
    </row>
    <row r="85" spans="1:11">
      <c r="A85" s="129"/>
      <c r="B85" s="129"/>
      <c r="C85" s="129"/>
      <c r="D85" s="129"/>
      <c r="E85" s="129"/>
      <c r="F85" s="129"/>
      <c r="G85" s="129"/>
      <c r="H85" s="129"/>
      <c r="I85" s="129"/>
      <c r="J85" s="129"/>
      <c r="K85" s="129"/>
    </row>
    <row r="86" spans="1:11">
      <c r="A86" s="129"/>
      <c r="B86" s="129"/>
      <c r="C86" s="129"/>
      <c r="D86" s="129"/>
      <c r="E86" s="129"/>
      <c r="F86" s="129"/>
      <c r="G86" s="129"/>
      <c r="H86" s="129"/>
      <c r="I86" s="129"/>
      <c r="J86" s="129"/>
      <c r="K86" s="129"/>
    </row>
    <row r="87" spans="1:11">
      <c r="A87" s="129"/>
      <c r="B87" s="129"/>
      <c r="C87" s="129"/>
      <c r="D87" s="129"/>
      <c r="E87" s="129"/>
      <c r="F87" s="129"/>
      <c r="G87" s="129"/>
      <c r="H87" s="129"/>
      <c r="I87" s="129"/>
      <c r="J87" s="129"/>
      <c r="K87" s="129"/>
    </row>
    <row r="88" spans="1:11">
      <c r="A88" s="129"/>
      <c r="B88" s="129"/>
      <c r="C88" s="129"/>
      <c r="D88" s="129"/>
      <c r="E88" s="129"/>
      <c r="F88" s="129"/>
      <c r="G88" s="129"/>
      <c r="H88" s="129"/>
      <c r="I88" s="129"/>
      <c r="J88" s="129"/>
      <c r="K88" s="129"/>
    </row>
    <row r="89" spans="1:11">
      <c r="A89" s="129"/>
      <c r="B89" s="129"/>
      <c r="C89" s="129"/>
      <c r="D89" s="129"/>
      <c r="E89" s="129"/>
      <c r="F89" s="129"/>
      <c r="G89" s="129"/>
      <c r="H89" s="129"/>
      <c r="I89" s="129"/>
      <c r="J89" s="129"/>
      <c r="K89" s="129"/>
    </row>
    <row r="90" spans="1:11">
      <c r="A90" s="129"/>
      <c r="B90" s="129"/>
      <c r="C90" s="129"/>
      <c r="D90" s="129"/>
      <c r="E90" s="129"/>
      <c r="F90" s="129"/>
      <c r="G90" s="129"/>
      <c r="H90" s="129"/>
      <c r="I90" s="129"/>
      <c r="J90" s="129"/>
      <c r="K90" s="129"/>
    </row>
    <row r="91" spans="1:11">
      <c r="A91" s="129"/>
      <c r="B91" s="129"/>
      <c r="C91" s="129"/>
      <c r="D91" s="129"/>
      <c r="E91" s="129"/>
      <c r="F91" s="129"/>
      <c r="G91" s="129"/>
      <c r="H91" s="129"/>
      <c r="I91" s="129"/>
      <c r="J91" s="129"/>
      <c r="K91" s="129"/>
    </row>
    <row r="92" spans="1:11">
      <c r="A92" s="129"/>
      <c r="B92" s="129"/>
      <c r="C92" s="129"/>
      <c r="D92" s="129"/>
      <c r="E92" s="129"/>
      <c r="F92" s="129"/>
      <c r="G92" s="129"/>
      <c r="H92" s="129"/>
      <c r="I92" s="129"/>
      <c r="J92" s="129"/>
      <c r="K92" s="129"/>
    </row>
    <row r="93" spans="1:11">
      <c r="A93" s="129"/>
      <c r="B93" s="129"/>
      <c r="C93" s="129"/>
      <c r="D93" s="129"/>
      <c r="E93" s="129"/>
      <c r="F93" s="129"/>
      <c r="G93" s="129"/>
      <c r="H93" s="129"/>
      <c r="I93" s="129"/>
      <c r="J93" s="129"/>
      <c r="K93" s="129"/>
    </row>
    <row r="94" spans="1:11">
      <c r="A94" s="129"/>
      <c r="B94" s="129"/>
      <c r="C94" s="129"/>
      <c r="D94" s="129"/>
      <c r="E94" s="129"/>
      <c r="F94" s="129"/>
      <c r="G94" s="129"/>
      <c r="H94" s="129"/>
      <c r="I94" s="129"/>
      <c r="J94" s="129"/>
      <c r="K94" s="129"/>
    </row>
    <row r="95" spans="1:11">
      <c r="A95" s="129"/>
      <c r="B95" s="129"/>
      <c r="C95" s="129"/>
      <c r="D95" s="129"/>
      <c r="E95" s="129"/>
      <c r="F95" s="129"/>
      <c r="G95" s="129"/>
      <c r="H95" s="129"/>
      <c r="I95" s="129"/>
      <c r="J95" s="129"/>
      <c r="K95" s="129"/>
    </row>
    <row r="96" spans="1:11">
      <c r="A96" s="129"/>
      <c r="B96" s="129"/>
      <c r="C96" s="129"/>
      <c r="D96" s="129"/>
      <c r="E96" s="129"/>
      <c r="F96" s="129"/>
      <c r="G96" s="129"/>
      <c r="H96" s="129"/>
      <c r="I96" s="129"/>
      <c r="J96" s="129"/>
      <c r="K96" s="129"/>
    </row>
    <row r="97" spans="1:11">
      <c r="A97" s="129"/>
      <c r="B97" s="129"/>
      <c r="C97" s="129"/>
      <c r="D97" s="129"/>
      <c r="E97" s="129"/>
      <c r="F97" s="129"/>
      <c r="G97" s="129"/>
      <c r="H97" s="129"/>
      <c r="I97" s="129"/>
      <c r="J97" s="129"/>
      <c r="K97" s="129"/>
    </row>
    <row r="98" spans="1:11">
      <c r="A98" s="129"/>
      <c r="B98" s="129"/>
      <c r="C98" s="129"/>
      <c r="D98" s="129"/>
      <c r="E98" s="129"/>
      <c r="F98" s="129"/>
      <c r="G98" s="129"/>
      <c r="H98" s="129"/>
      <c r="I98" s="129"/>
      <c r="J98" s="129"/>
      <c r="K98" s="129"/>
    </row>
    <row r="99" spans="1:11">
      <c r="A99" s="129"/>
      <c r="B99" s="129"/>
      <c r="C99" s="129"/>
      <c r="D99" s="129"/>
      <c r="E99" s="129"/>
      <c r="F99" s="129"/>
      <c r="G99" s="129"/>
      <c r="H99" s="129"/>
      <c r="I99" s="129"/>
      <c r="J99" s="129"/>
      <c r="K99" s="129"/>
    </row>
    <row r="100" spans="1:11">
      <c r="A100" s="129"/>
      <c r="B100" s="129"/>
      <c r="C100" s="129"/>
      <c r="D100" s="129"/>
      <c r="E100" s="129"/>
      <c r="F100" s="129"/>
      <c r="G100" s="129"/>
      <c r="H100" s="129"/>
      <c r="I100" s="129"/>
      <c r="J100" s="129"/>
      <c r="K100" s="129"/>
    </row>
    <row r="101" spans="1:11">
      <c r="A101" s="129"/>
      <c r="B101" s="129"/>
      <c r="C101" s="129"/>
      <c r="D101" s="129"/>
      <c r="E101" s="129"/>
      <c r="F101" s="129"/>
      <c r="G101" s="129"/>
      <c r="H101" s="129"/>
      <c r="I101" s="129"/>
      <c r="J101" s="129"/>
      <c r="K101" s="129"/>
    </row>
    <row r="102" spans="1:11">
      <c r="A102" s="129"/>
      <c r="B102" s="129"/>
      <c r="C102" s="129"/>
      <c r="D102" s="129"/>
      <c r="E102" s="129"/>
      <c r="F102" s="129"/>
      <c r="G102" s="129"/>
      <c r="H102" s="129"/>
      <c r="I102" s="129"/>
      <c r="J102" s="129"/>
      <c r="K102" s="129"/>
    </row>
    <row r="103" spans="1:11">
      <c r="A103" s="129"/>
      <c r="B103" s="129"/>
      <c r="C103" s="129"/>
      <c r="D103" s="129"/>
      <c r="E103" s="129"/>
      <c r="F103" s="129"/>
      <c r="G103" s="129"/>
      <c r="H103" s="129"/>
      <c r="I103" s="129"/>
      <c r="J103" s="129"/>
      <c r="K103" s="129"/>
    </row>
    <row r="104" spans="1:11">
      <c r="A104" s="129"/>
      <c r="B104" s="129"/>
      <c r="C104" s="129"/>
      <c r="D104" s="129"/>
      <c r="E104" s="129"/>
      <c r="F104" s="129"/>
      <c r="G104" s="129"/>
      <c r="H104" s="129"/>
      <c r="I104" s="129"/>
      <c r="J104" s="129"/>
      <c r="K104" s="129"/>
    </row>
    <row r="105" spans="1:11">
      <c r="A105" s="129"/>
      <c r="B105" s="129"/>
      <c r="C105" s="129"/>
      <c r="D105" s="129"/>
      <c r="E105" s="129"/>
      <c r="F105" s="129"/>
      <c r="G105" s="129"/>
      <c r="H105" s="129"/>
      <c r="I105" s="129"/>
      <c r="J105" s="129"/>
      <c r="K105" s="129"/>
    </row>
    <row r="106" spans="1:11">
      <c r="A106" s="129"/>
      <c r="B106" s="129"/>
      <c r="C106" s="129"/>
      <c r="D106" s="129"/>
      <c r="E106" s="129"/>
      <c r="F106" s="129"/>
      <c r="G106" s="129"/>
      <c r="H106" s="129"/>
      <c r="I106" s="129"/>
      <c r="J106" s="129"/>
      <c r="K106" s="129"/>
    </row>
    <row r="107" spans="1:11">
      <c r="A107" s="129"/>
      <c r="B107" s="129"/>
      <c r="C107" s="129"/>
      <c r="D107" s="129"/>
      <c r="E107" s="129"/>
      <c r="F107" s="129"/>
      <c r="G107" s="129"/>
      <c r="H107" s="129"/>
      <c r="I107" s="129"/>
      <c r="J107" s="129"/>
      <c r="K107" s="129"/>
    </row>
    <row r="108" spans="1:11">
      <c r="A108" s="129"/>
      <c r="B108" s="129"/>
      <c r="C108" s="129"/>
      <c r="D108" s="129"/>
      <c r="E108" s="129"/>
      <c r="F108" s="129"/>
      <c r="G108" s="129"/>
      <c r="H108" s="129"/>
      <c r="I108" s="129"/>
      <c r="J108" s="129"/>
      <c r="K108" s="129"/>
    </row>
    <row r="109" spans="1:11">
      <c r="A109" s="129"/>
      <c r="B109" s="129"/>
      <c r="C109" s="129"/>
      <c r="D109" s="129"/>
      <c r="E109" s="129"/>
      <c r="F109" s="129"/>
      <c r="G109" s="129"/>
      <c r="H109" s="129"/>
      <c r="I109" s="129"/>
      <c r="J109" s="129"/>
      <c r="K109" s="129"/>
    </row>
    <row r="110" spans="1:11">
      <c r="A110" s="129"/>
      <c r="B110" s="129"/>
      <c r="C110" s="129"/>
      <c r="D110" s="129"/>
      <c r="E110" s="129"/>
      <c r="F110" s="129"/>
      <c r="G110" s="129"/>
      <c r="H110" s="129"/>
      <c r="I110" s="129"/>
      <c r="J110" s="129"/>
      <c r="K110" s="129"/>
    </row>
    <row r="111" spans="1:11">
      <c r="A111" s="129"/>
      <c r="B111" s="129"/>
      <c r="C111" s="129"/>
      <c r="D111" s="129"/>
      <c r="E111" s="129"/>
      <c r="F111" s="129"/>
      <c r="G111" s="129"/>
      <c r="H111" s="129"/>
      <c r="I111" s="129"/>
      <c r="J111" s="129"/>
      <c r="K111" s="129"/>
    </row>
    <row r="112" spans="1:11">
      <c r="A112" s="129"/>
      <c r="B112" s="129"/>
      <c r="C112" s="129"/>
      <c r="D112" s="129"/>
      <c r="E112" s="129"/>
      <c r="F112" s="129"/>
      <c r="G112" s="129"/>
      <c r="H112" s="129"/>
      <c r="I112" s="129"/>
      <c r="J112" s="129"/>
      <c r="K112" s="129"/>
    </row>
    <row r="113" spans="1:11">
      <c r="A113" s="129"/>
      <c r="B113" s="129"/>
      <c r="C113" s="129"/>
      <c r="D113" s="129"/>
      <c r="E113" s="129"/>
      <c r="F113" s="129"/>
      <c r="G113" s="129"/>
      <c r="H113" s="129"/>
      <c r="I113" s="129"/>
      <c r="J113" s="129"/>
      <c r="K113" s="129"/>
    </row>
    <row r="114" spans="1:11">
      <c r="A114" s="129"/>
      <c r="B114" s="129"/>
      <c r="C114" s="129"/>
      <c r="D114" s="129"/>
      <c r="E114" s="129"/>
      <c r="F114" s="129"/>
      <c r="G114" s="129"/>
      <c r="H114" s="129"/>
      <c r="I114" s="129"/>
      <c r="J114" s="129"/>
      <c r="K114" s="129"/>
    </row>
    <row r="115" spans="1:11">
      <c r="A115" s="129"/>
      <c r="B115" s="129"/>
      <c r="C115" s="129"/>
      <c r="D115" s="129"/>
      <c r="E115" s="129"/>
      <c r="F115" s="129"/>
      <c r="G115" s="129"/>
      <c r="H115" s="129"/>
      <c r="I115" s="129"/>
      <c r="J115" s="129"/>
      <c r="K115" s="129"/>
    </row>
    <row r="116" spans="1:11">
      <c r="A116" s="129"/>
      <c r="B116" s="129"/>
      <c r="C116" s="129"/>
      <c r="D116" s="129"/>
      <c r="E116" s="129"/>
      <c r="F116" s="129"/>
      <c r="G116" s="129"/>
      <c r="H116" s="129"/>
      <c r="I116" s="129"/>
      <c r="J116" s="129"/>
      <c r="K116" s="129"/>
    </row>
    <row r="117" spans="1:11">
      <c r="A117" s="129"/>
      <c r="B117" s="129"/>
      <c r="C117" s="129"/>
      <c r="D117" s="129"/>
      <c r="E117" s="129"/>
      <c r="F117" s="129"/>
      <c r="G117" s="129"/>
      <c r="H117" s="129"/>
      <c r="I117" s="129"/>
      <c r="J117" s="129"/>
      <c r="K117" s="129"/>
    </row>
    <row r="118" spans="1:11">
      <c r="A118" s="129"/>
      <c r="B118" s="129"/>
      <c r="C118" s="129"/>
      <c r="D118" s="129"/>
      <c r="E118" s="129"/>
      <c r="F118" s="129"/>
      <c r="G118" s="129"/>
      <c r="H118" s="129"/>
      <c r="I118" s="129"/>
      <c r="J118" s="129"/>
      <c r="K118" s="129"/>
    </row>
    <row r="119" spans="1:11">
      <c r="A119" s="129"/>
      <c r="B119" s="129"/>
      <c r="C119" s="129"/>
      <c r="D119" s="129"/>
      <c r="E119" s="129"/>
      <c r="F119" s="129"/>
      <c r="G119" s="129"/>
      <c r="H119" s="129"/>
      <c r="I119" s="129"/>
      <c r="J119" s="129"/>
      <c r="K119" s="129"/>
    </row>
    <row r="120" spans="1:11">
      <c r="A120" s="129"/>
      <c r="B120" s="129"/>
      <c r="C120" s="129"/>
      <c r="D120" s="129"/>
      <c r="E120" s="129"/>
      <c r="F120" s="129"/>
      <c r="G120" s="129"/>
      <c r="H120" s="129"/>
      <c r="I120" s="129"/>
      <c r="J120" s="129"/>
      <c r="K120" s="129"/>
    </row>
    <row r="121" spans="1:11">
      <c r="A121" s="129"/>
      <c r="B121" s="129"/>
      <c r="C121" s="129"/>
      <c r="D121" s="129"/>
      <c r="E121" s="129"/>
      <c r="F121" s="129"/>
      <c r="G121" s="129"/>
      <c r="H121" s="129"/>
      <c r="I121" s="129"/>
      <c r="J121" s="129"/>
      <c r="K121" s="129"/>
    </row>
    <row r="122" spans="1:11">
      <c r="A122" s="129"/>
      <c r="B122" s="129"/>
      <c r="C122" s="129"/>
      <c r="D122" s="129"/>
      <c r="E122" s="129"/>
      <c r="F122" s="129"/>
      <c r="G122" s="129"/>
      <c r="H122" s="129"/>
      <c r="I122" s="129"/>
      <c r="J122" s="129"/>
      <c r="K122" s="129"/>
    </row>
    <row r="123" spans="1:11">
      <c r="A123" s="129"/>
      <c r="B123" s="129"/>
      <c r="C123" s="129"/>
      <c r="D123" s="129"/>
      <c r="E123" s="129"/>
      <c r="F123" s="129"/>
      <c r="G123" s="129"/>
      <c r="H123" s="129"/>
      <c r="I123" s="129"/>
      <c r="J123" s="129"/>
      <c r="K123" s="129"/>
    </row>
    <row r="124" spans="1:11">
      <c r="A124" s="129"/>
      <c r="B124" s="129"/>
      <c r="C124" s="129"/>
      <c r="D124" s="129"/>
      <c r="E124" s="129"/>
      <c r="F124" s="129"/>
      <c r="G124" s="129"/>
      <c r="H124" s="129"/>
      <c r="I124" s="129"/>
      <c r="J124" s="129"/>
      <c r="K124" s="129"/>
    </row>
    <row r="125" spans="1:11">
      <c r="A125" s="129"/>
      <c r="B125" s="129"/>
      <c r="C125" s="129"/>
      <c r="D125" s="129"/>
      <c r="E125" s="129"/>
      <c r="F125" s="129"/>
      <c r="G125" s="129"/>
      <c r="H125" s="129"/>
      <c r="I125" s="129"/>
      <c r="J125" s="129"/>
      <c r="K125" s="129"/>
    </row>
    <row r="126" spans="1:11">
      <c r="A126" s="129"/>
      <c r="B126" s="129"/>
      <c r="C126" s="129"/>
      <c r="D126" s="129"/>
      <c r="E126" s="129"/>
      <c r="F126" s="129"/>
      <c r="G126" s="129"/>
      <c r="H126" s="129"/>
      <c r="I126" s="129"/>
      <c r="J126" s="129"/>
      <c r="K126" s="129"/>
    </row>
    <row r="127" spans="1:11">
      <c r="A127" s="129"/>
      <c r="B127" s="129"/>
      <c r="C127" s="129"/>
      <c r="D127" s="129"/>
      <c r="E127" s="129"/>
      <c r="F127" s="129"/>
      <c r="G127" s="129"/>
      <c r="H127" s="129"/>
      <c r="I127" s="129"/>
      <c r="J127" s="129"/>
      <c r="K127" s="129"/>
    </row>
    <row r="128" spans="1:11">
      <c r="A128" s="129"/>
      <c r="B128" s="129"/>
      <c r="C128" s="129"/>
      <c r="D128" s="129"/>
      <c r="E128" s="129"/>
      <c r="F128" s="129"/>
      <c r="G128" s="129"/>
      <c r="H128" s="129"/>
      <c r="I128" s="129"/>
      <c r="J128" s="129"/>
      <c r="K128" s="129"/>
    </row>
    <row r="129" spans="1:11">
      <c r="A129" s="129"/>
      <c r="B129" s="129"/>
      <c r="C129" s="129"/>
      <c r="D129" s="129"/>
      <c r="E129" s="129"/>
      <c r="F129" s="129"/>
      <c r="G129" s="129"/>
      <c r="H129" s="129"/>
      <c r="I129" s="129"/>
      <c r="J129" s="129"/>
      <c r="K129" s="129"/>
    </row>
    <row r="130" spans="1:11">
      <c r="A130" s="129"/>
      <c r="B130" s="129"/>
      <c r="C130" s="129"/>
      <c r="D130" s="129"/>
      <c r="E130" s="129"/>
      <c r="F130" s="129"/>
      <c r="G130" s="129"/>
      <c r="H130" s="129"/>
      <c r="I130" s="129"/>
      <c r="J130" s="129"/>
      <c r="K130" s="129"/>
    </row>
    <row r="131" spans="1:11">
      <c r="A131" s="129"/>
      <c r="B131" s="129"/>
      <c r="C131" s="129"/>
      <c r="D131" s="129"/>
      <c r="E131" s="129"/>
      <c r="F131" s="129"/>
      <c r="G131" s="129"/>
      <c r="H131" s="129"/>
      <c r="I131" s="129"/>
      <c r="J131" s="129"/>
      <c r="K131" s="129"/>
    </row>
    <row r="132" spans="1:11">
      <c r="A132" s="129"/>
      <c r="B132" s="129"/>
      <c r="C132" s="129"/>
      <c r="D132" s="129"/>
      <c r="E132" s="129"/>
      <c r="F132" s="129"/>
      <c r="G132" s="129"/>
      <c r="H132" s="129"/>
      <c r="I132" s="129"/>
      <c r="J132" s="129"/>
      <c r="K132" s="129"/>
    </row>
    <row r="133" spans="1:11">
      <c r="A133" s="129"/>
      <c r="B133" s="129"/>
      <c r="C133" s="129"/>
      <c r="D133" s="129"/>
      <c r="E133" s="129"/>
      <c r="F133" s="129"/>
      <c r="G133" s="129"/>
      <c r="H133" s="129"/>
      <c r="I133" s="129"/>
      <c r="J133" s="129"/>
      <c r="K133" s="129"/>
    </row>
    <row r="134" spans="1:11">
      <c r="A134" s="129"/>
      <c r="B134" s="129"/>
      <c r="C134" s="129"/>
      <c r="D134" s="129"/>
      <c r="E134" s="129"/>
      <c r="F134" s="129"/>
      <c r="G134" s="129"/>
      <c r="H134" s="129"/>
      <c r="I134" s="129"/>
      <c r="J134" s="129"/>
      <c r="K134" s="129"/>
    </row>
    <row r="135" spans="1:11">
      <c r="A135" s="129"/>
      <c r="B135" s="129"/>
      <c r="C135" s="129"/>
      <c r="D135" s="129"/>
      <c r="E135" s="129"/>
      <c r="F135" s="129"/>
      <c r="G135" s="129"/>
      <c r="H135" s="129"/>
      <c r="I135" s="129"/>
      <c r="J135" s="129"/>
      <c r="K135" s="129"/>
    </row>
    <row r="136" spans="1:11">
      <c r="A136" s="129"/>
      <c r="B136" s="129"/>
      <c r="C136" s="129"/>
      <c r="D136" s="129"/>
      <c r="E136" s="129"/>
      <c r="F136" s="129"/>
      <c r="G136" s="129"/>
      <c r="H136" s="129"/>
      <c r="I136" s="129"/>
      <c r="J136" s="129"/>
      <c r="K136" s="129"/>
    </row>
    <row r="137" spans="1:11">
      <c r="A137" s="129"/>
      <c r="B137" s="129"/>
      <c r="C137" s="129"/>
      <c r="D137" s="129"/>
      <c r="E137" s="129"/>
      <c r="F137" s="129"/>
      <c r="G137" s="129"/>
      <c r="H137" s="129"/>
      <c r="I137" s="129"/>
      <c r="J137" s="129"/>
      <c r="K137" s="129"/>
    </row>
    <row r="138" spans="1:11">
      <c r="A138" s="129"/>
      <c r="B138" s="129"/>
      <c r="C138" s="129"/>
      <c r="D138" s="129"/>
      <c r="E138" s="129"/>
      <c r="F138" s="129"/>
      <c r="G138" s="129"/>
      <c r="H138" s="129"/>
      <c r="I138" s="129"/>
      <c r="J138" s="129"/>
      <c r="K138" s="129"/>
    </row>
    <row r="139" spans="1:11">
      <c r="A139" s="129"/>
      <c r="B139" s="129"/>
      <c r="C139" s="129"/>
      <c r="D139" s="129"/>
      <c r="E139" s="129"/>
      <c r="F139" s="129"/>
      <c r="G139" s="129"/>
      <c r="H139" s="129"/>
      <c r="I139" s="129"/>
      <c r="J139" s="129"/>
      <c r="K139" s="129"/>
    </row>
    <row r="140" spans="1:11">
      <c r="A140" s="129"/>
      <c r="B140" s="129"/>
      <c r="C140" s="129"/>
      <c r="D140" s="129"/>
      <c r="E140" s="129"/>
      <c r="F140" s="129"/>
      <c r="G140" s="129"/>
      <c r="H140" s="129"/>
      <c r="I140" s="129"/>
      <c r="J140" s="129"/>
      <c r="K140" s="129"/>
    </row>
    <row r="141" spans="1:11">
      <c r="A141" s="129"/>
      <c r="B141" s="129"/>
      <c r="C141" s="129"/>
      <c r="D141" s="129"/>
      <c r="E141" s="129"/>
      <c r="F141" s="129"/>
      <c r="G141" s="129"/>
      <c r="H141" s="129"/>
      <c r="I141" s="129"/>
      <c r="J141" s="129"/>
      <c r="K141" s="129"/>
    </row>
    <row r="142" spans="1:11">
      <c r="A142" s="129"/>
      <c r="B142" s="129"/>
      <c r="C142" s="129"/>
      <c r="D142" s="129"/>
      <c r="E142" s="129"/>
      <c r="F142" s="129"/>
      <c r="G142" s="129"/>
      <c r="H142" s="129"/>
      <c r="I142" s="129"/>
      <c r="J142" s="129"/>
      <c r="K142" s="129"/>
    </row>
    <row r="143" spans="1:11">
      <c r="A143" s="129"/>
      <c r="B143" s="129"/>
      <c r="C143" s="129"/>
      <c r="D143" s="129"/>
      <c r="E143" s="129"/>
      <c r="F143" s="129"/>
      <c r="G143" s="129"/>
      <c r="H143" s="129"/>
      <c r="I143" s="129"/>
      <c r="J143" s="129"/>
      <c r="K143" s="129"/>
    </row>
    <row r="144" spans="1:11">
      <c r="A144" s="129"/>
      <c r="B144" s="129"/>
      <c r="C144" s="129"/>
      <c r="D144" s="129"/>
      <c r="E144" s="129"/>
      <c r="F144" s="129"/>
      <c r="G144" s="129"/>
      <c r="H144" s="129"/>
      <c r="I144" s="129"/>
      <c r="J144" s="129"/>
      <c r="K144" s="129"/>
    </row>
    <row r="145" spans="1:11">
      <c r="A145" s="129"/>
      <c r="B145" s="129"/>
      <c r="C145" s="129"/>
      <c r="D145" s="129"/>
      <c r="E145" s="129"/>
      <c r="F145" s="129"/>
      <c r="G145" s="129"/>
      <c r="H145" s="129"/>
      <c r="I145" s="129"/>
      <c r="J145" s="129"/>
      <c r="K145" s="129"/>
    </row>
    <row r="146" spans="1:11">
      <c r="A146" s="129"/>
      <c r="B146" s="129"/>
      <c r="C146" s="129"/>
      <c r="D146" s="129"/>
      <c r="E146" s="129"/>
      <c r="F146" s="129"/>
      <c r="G146" s="129"/>
      <c r="H146" s="129"/>
      <c r="I146" s="129"/>
      <c r="J146" s="129"/>
      <c r="K146" s="129"/>
    </row>
    <row r="147" spans="1:11">
      <c r="A147" s="129"/>
      <c r="B147" s="129"/>
      <c r="C147" s="129"/>
      <c r="D147" s="129"/>
      <c r="E147" s="129"/>
      <c r="F147" s="129"/>
      <c r="G147" s="129"/>
      <c r="H147" s="129"/>
      <c r="I147" s="129"/>
      <c r="J147" s="129"/>
      <c r="K147" s="129"/>
    </row>
    <row r="148" spans="1:11">
      <c r="A148" s="129"/>
      <c r="B148" s="129"/>
      <c r="C148" s="129"/>
      <c r="D148" s="129"/>
      <c r="E148" s="129"/>
      <c r="F148" s="129"/>
      <c r="G148" s="129"/>
      <c r="H148" s="129"/>
      <c r="I148" s="129"/>
      <c r="J148" s="129"/>
      <c r="K148" s="129"/>
    </row>
    <row r="149" spans="1:11">
      <c r="A149" s="129"/>
      <c r="B149" s="129"/>
      <c r="C149" s="129"/>
      <c r="D149" s="129"/>
      <c r="E149" s="129"/>
      <c r="F149" s="129"/>
      <c r="G149" s="129"/>
      <c r="H149" s="129"/>
      <c r="I149" s="129"/>
      <c r="J149" s="129"/>
      <c r="K149" s="129"/>
    </row>
    <row r="150" spans="1:11">
      <c r="A150" s="129"/>
      <c r="B150" s="129"/>
      <c r="C150" s="129"/>
      <c r="D150" s="129"/>
      <c r="E150" s="129"/>
      <c r="F150" s="129"/>
      <c r="G150" s="129"/>
      <c r="H150" s="129"/>
      <c r="I150" s="129"/>
      <c r="J150" s="129"/>
      <c r="K150" s="129"/>
    </row>
    <row r="151" spans="1:11">
      <c r="A151" s="129"/>
      <c r="B151" s="129"/>
      <c r="C151" s="129"/>
      <c r="D151" s="129"/>
      <c r="E151" s="129"/>
      <c r="F151" s="129"/>
      <c r="G151" s="129"/>
      <c r="H151" s="129"/>
      <c r="I151" s="129"/>
      <c r="J151" s="129"/>
      <c r="K151" s="129"/>
    </row>
    <row r="152" spans="1:11">
      <c r="A152" s="129"/>
      <c r="B152" s="129"/>
      <c r="C152" s="129"/>
      <c r="D152" s="129"/>
      <c r="E152" s="129"/>
      <c r="F152" s="129"/>
      <c r="G152" s="129"/>
      <c r="H152" s="129"/>
      <c r="I152" s="129"/>
      <c r="J152" s="129"/>
      <c r="K152" s="129"/>
    </row>
    <row r="153" spans="1:11">
      <c r="A153" s="129"/>
      <c r="B153" s="129"/>
      <c r="C153" s="129"/>
      <c r="D153" s="129"/>
      <c r="E153" s="129"/>
      <c r="F153" s="129"/>
      <c r="G153" s="129"/>
      <c r="H153" s="129"/>
      <c r="I153" s="129"/>
      <c r="J153" s="129"/>
      <c r="K153" s="129"/>
    </row>
    <row r="154" spans="1:11">
      <c r="A154" s="129"/>
      <c r="B154" s="129"/>
      <c r="C154" s="129"/>
      <c r="D154" s="129"/>
      <c r="E154" s="129"/>
      <c r="F154" s="129"/>
      <c r="G154" s="129"/>
      <c r="H154" s="129"/>
      <c r="I154" s="129"/>
      <c r="J154" s="129"/>
      <c r="K154" s="129"/>
    </row>
    <row r="155" spans="1:11">
      <c r="A155" s="129"/>
      <c r="B155" s="129"/>
      <c r="C155" s="129"/>
      <c r="D155" s="129"/>
      <c r="E155" s="129"/>
      <c r="F155" s="129"/>
      <c r="G155" s="129"/>
      <c r="H155" s="129"/>
      <c r="I155" s="129"/>
      <c r="J155" s="129"/>
      <c r="K155" s="129"/>
    </row>
    <row r="156" spans="1:11">
      <c r="A156" s="129"/>
      <c r="B156" s="129"/>
      <c r="C156" s="129"/>
      <c r="D156" s="129"/>
      <c r="E156" s="129"/>
      <c r="F156" s="129"/>
      <c r="G156" s="129"/>
      <c r="H156" s="129"/>
      <c r="I156" s="129"/>
      <c r="J156" s="129"/>
      <c r="K156" s="129"/>
    </row>
    <row r="157" spans="1:11">
      <c r="A157" s="129"/>
      <c r="B157" s="129"/>
      <c r="C157" s="129"/>
      <c r="D157" s="129"/>
      <c r="E157" s="129"/>
      <c r="F157" s="129"/>
      <c r="G157" s="129"/>
      <c r="H157" s="129"/>
      <c r="I157" s="129"/>
      <c r="J157" s="129"/>
      <c r="K157" s="129"/>
    </row>
    <row r="158" spans="1:11">
      <c r="A158" s="129"/>
      <c r="B158" s="129"/>
      <c r="C158" s="129"/>
      <c r="D158" s="129"/>
      <c r="E158" s="129"/>
      <c r="F158" s="129"/>
      <c r="G158" s="129"/>
      <c r="H158" s="129"/>
      <c r="I158" s="129"/>
      <c r="J158" s="129"/>
      <c r="K158" s="129"/>
    </row>
    <row r="159" spans="1:11">
      <c r="A159" s="129"/>
      <c r="B159" s="129"/>
      <c r="C159" s="129"/>
      <c r="D159" s="129"/>
      <c r="E159" s="129"/>
      <c r="F159" s="129"/>
      <c r="G159" s="129"/>
      <c r="H159" s="129"/>
      <c r="I159" s="129"/>
      <c r="J159" s="129"/>
      <c r="K159" s="129"/>
    </row>
    <row r="160" spans="1:11">
      <c r="A160" s="129"/>
      <c r="B160" s="129"/>
      <c r="C160" s="129"/>
      <c r="D160" s="129"/>
      <c r="E160" s="129"/>
      <c r="F160" s="129"/>
      <c r="G160" s="129"/>
      <c r="H160" s="129"/>
      <c r="I160" s="129"/>
      <c r="J160" s="129"/>
      <c r="K160" s="129"/>
    </row>
    <row r="161" spans="1:11">
      <c r="A161" s="129"/>
      <c r="B161" s="129"/>
      <c r="C161" s="129"/>
      <c r="D161" s="129"/>
      <c r="E161" s="129"/>
      <c r="F161" s="129"/>
      <c r="G161" s="129"/>
      <c r="H161" s="129"/>
      <c r="I161" s="129"/>
      <c r="J161" s="129"/>
      <c r="K161" s="129"/>
    </row>
    <row r="162" spans="1:11">
      <c r="A162" s="129"/>
      <c r="B162" s="129"/>
      <c r="C162" s="129"/>
      <c r="D162" s="129"/>
      <c r="E162" s="129"/>
      <c r="F162" s="129"/>
      <c r="G162" s="129"/>
      <c r="H162" s="129"/>
      <c r="I162" s="129"/>
      <c r="J162" s="129"/>
      <c r="K162" s="129"/>
    </row>
    <row r="163" spans="1:11">
      <c r="A163" s="129"/>
      <c r="B163" s="129"/>
      <c r="C163" s="129"/>
      <c r="D163" s="129"/>
      <c r="E163" s="129"/>
      <c r="F163" s="129"/>
      <c r="G163" s="129"/>
      <c r="H163" s="129"/>
      <c r="I163" s="129"/>
      <c r="J163" s="129"/>
      <c r="K163" s="129"/>
    </row>
    <row r="164" spans="1:11">
      <c r="A164" s="129"/>
      <c r="B164" s="129"/>
      <c r="C164" s="129"/>
      <c r="D164" s="129"/>
      <c r="E164" s="129"/>
      <c r="F164" s="129"/>
      <c r="G164" s="129"/>
      <c r="H164" s="129"/>
      <c r="I164" s="129"/>
      <c r="J164" s="129"/>
      <c r="K164" s="129"/>
    </row>
    <row r="165" spans="1:11">
      <c r="A165" s="129"/>
      <c r="B165" s="129"/>
      <c r="C165" s="129"/>
      <c r="D165" s="129"/>
      <c r="E165" s="129"/>
      <c r="F165" s="129"/>
      <c r="G165" s="129"/>
      <c r="H165" s="129"/>
      <c r="I165" s="129"/>
      <c r="J165" s="129"/>
      <c r="K165" s="129"/>
    </row>
    <row r="166" spans="1:11">
      <c r="A166" s="129"/>
      <c r="B166" s="129"/>
      <c r="C166" s="129"/>
      <c r="D166" s="129"/>
      <c r="E166" s="129"/>
      <c r="F166" s="129"/>
      <c r="G166" s="129"/>
      <c r="H166" s="129"/>
      <c r="I166" s="129"/>
      <c r="J166" s="129"/>
      <c r="K166" s="129"/>
    </row>
    <row r="167" spans="1:11">
      <c r="A167" s="129"/>
      <c r="B167" s="129"/>
      <c r="C167" s="129"/>
      <c r="D167" s="129"/>
      <c r="E167" s="129"/>
      <c r="F167" s="129"/>
      <c r="G167" s="129"/>
      <c r="H167" s="129"/>
      <c r="I167" s="129"/>
      <c r="J167" s="129"/>
      <c r="K167" s="129"/>
    </row>
    <row r="168" spans="1:11">
      <c r="A168" s="129"/>
      <c r="B168" s="129"/>
      <c r="C168" s="129"/>
      <c r="D168" s="129"/>
      <c r="E168" s="129"/>
      <c r="F168" s="129"/>
      <c r="G168" s="129"/>
      <c r="H168" s="129"/>
      <c r="I168" s="129"/>
      <c r="J168" s="129"/>
      <c r="K168" s="129"/>
    </row>
    <row r="169" spans="1:11">
      <c r="A169" s="129"/>
      <c r="B169" s="129"/>
      <c r="C169" s="129"/>
      <c r="D169" s="129"/>
      <c r="E169" s="129"/>
      <c r="F169" s="129"/>
      <c r="G169" s="129"/>
      <c r="H169" s="129"/>
      <c r="I169" s="129"/>
      <c r="J169" s="129"/>
      <c r="K169" s="129"/>
    </row>
    <row r="170" spans="1:11">
      <c r="A170" s="129"/>
      <c r="B170" s="129"/>
      <c r="C170" s="129"/>
      <c r="D170" s="129"/>
      <c r="E170" s="129"/>
      <c r="F170" s="129"/>
      <c r="G170" s="129"/>
      <c r="H170" s="129"/>
      <c r="I170" s="129"/>
      <c r="J170" s="129"/>
      <c r="K170" s="129"/>
    </row>
    <row r="171" spans="1:11">
      <c r="A171" s="129"/>
      <c r="B171" s="129"/>
      <c r="C171" s="129"/>
      <c r="D171" s="129"/>
      <c r="E171" s="129"/>
      <c r="F171" s="129"/>
      <c r="G171" s="129"/>
      <c r="H171" s="129"/>
      <c r="I171" s="129"/>
      <c r="J171" s="129"/>
      <c r="K171" s="129"/>
    </row>
    <row r="172" spans="1:11">
      <c r="A172" s="129"/>
      <c r="B172" s="129"/>
      <c r="C172" s="129"/>
      <c r="D172" s="129"/>
      <c r="E172" s="129"/>
      <c r="F172" s="129"/>
      <c r="G172" s="129"/>
      <c r="H172" s="129"/>
      <c r="I172" s="129"/>
      <c r="J172" s="129"/>
      <c r="K172" s="129"/>
    </row>
    <row r="173" spans="1:11">
      <c r="A173" s="129"/>
      <c r="B173" s="129"/>
      <c r="C173" s="129"/>
      <c r="D173" s="129"/>
      <c r="E173" s="129"/>
      <c r="F173" s="129"/>
      <c r="G173" s="129"/>
      <c r="H173" s="129"/>
      <c r="I173" s="129"/>
      <c r="J173" s="129"/>
      <c r="K173" s="129"/>
    </row>
    <row r="174" spans="1:11">
      <c r="A174" s="129"/>
      <c r="B174" s="129"/>
      <c r="C174" s="129"/>
      <c r="D174" s="129"/>
      <c r="E174" s="129"/>
      <c r="F174" s="129"/>
      <c r="G174" s="129"/>
      <c r="H174" s="129"/>
      <c r="I174" s="129"/>
      <c r="J174" s="129"/>
      <c r="K174" s="129"/>
    </row>
    <row r="175" spans="1:11">
      <c r="A175" s="129"/>
      <c r="B175" s="129"/>
      <c r="C175" s="129"/>
      <c r="D175" s="129"/>
      <c r="E175" s="129"/>
      <c r="F175" s="129"/>
      <c r="G175" s="129"/>
      <c r="H175" s="129"/>
      <c r="I175" s="129"/>
      <c r="J175" s="129"/>
      <c r="K175" s="129"/>
    </row>
    <row r="176" spans="1:11">
      <c r="A176" s="129"/>
      <c r="B176" s="129"/>
      <c r="C176" s="129"/>
      <c r="D176" s="129"/>
      <c r="E176" s="129"/>
      <c r="F176" s="129"/>
      <c r="G176" s="129"/>
      <c r="H176" s="129"/>
      <c r="I176" s="129"/>
      <c r="J176" s="129"/>
      <c r="K176" s="129"/>
    </row>
    <row r="177" spans="1:11">
      <c r="A177" s="129"/>
      <c r="B177" s="129"/>
      <c r="C177" s="129"/>
      <c r="D177" s="129"/>
      <c r="E177" s="129"/>
      <c r="F177" s="129"/>
      <c r="G177" s="129"/>
      <c r="H177" s="129"/>
      <c r="I177" s="129"/>
      <c r="J177" s="129"/>
      <c r="K177" s="129"/>
    </row>
    <row r="178" spans="1:11">
      <c r="A178" s="129"/>
      <c r="B178" s="129"/>
      <c r="C178" s="129"/>
      <c r="D178" s="129"/>
      <c r="E178" s="129"/>
      <c r="F178" s="129"/>
      <c r="G178" s="129"/>
      <c r="H178" s="129"/>
      <c r="I178" s="129"/>
      <c r="J178" s="129"/>
      <c r="K178" s="129"/>
    </row>
    <row r="179" spans="1:11">
      <c r="A179" s="129"/>
      <c r="B179" s="129"/>
      <c r="C179" s="129"/>
      <c r="D179" s="129"/>
      <c r="E179" s="129"/>
      <c r="F179" s="129"/>
      <c r="G179" s="129"/>
      <c r="H179" s="129"/>
      <c r="I179" s="129"/>
      <c r="J179" s="129"/>
      <c r="K179" s="129"/>
    </row>
    <row r="180" spans="1:11">
      <c r="A180" s="129"/>
      <c r="B180" s="129"/>
      <c r="C180" s="129"/>
      <c r="D180" s="129"/>
      <c r="E180" s="129"/>
      <c r="F180" s="129"/>
      <c r="G180" s="129"/>
      <c r="H180" s="129"/>
      <c r="I180" s="129"/>
      <c r="J180" s="129"/>
      <c r="K180" s="129"/>
    </row>
    <row r="181" spans="1:11">
      <c r="A181" s="129"/>
      <c r="B181" s="129"/>
      <c r="C181" s="129"/>
      <c r="D181" s="129"/>
      <c r="E181" s="129"/>
      <c r="F181" s="129"/>
      <c r="G181" s="129"/>
      <c r="H181" s="129"/>
      <c r="I181" s="129"/>
      <c r="J181" s="129"/>
      <c r="K181" s="129"/>
    </row>
    <row r="182" spans="1:11">
      <c r="A182" s="129"/>
      <c r="B182" s="129"/>
      <c r="C182" s="129"/>
      <c r="D182" s="129"/>
      <c r="E182" s="129"/>
      <c r="F182" s="129"/>
      <c r="G182" s="129"/>
      <c r="H182" s="129"/>
      <c r="I182" s="129"/>
      <c r="J182" s="129"/>
      <c r="K182" s="129"/>
    </row>
    <row r="183" spans="1:11">
      <c r="A183" s="129"/>
      <c r="B183" s="129"/>
      <c r="C183" s="129"/>
      <c r="D183" s="129"/>
      <c r="E183" s="129"/>
      <c r="F183" s="129"/>
      <c r="G183" s="129"/>
      <c r="H183" s="129"/>
      <c r="I183" s="129"/>
      <c r="J183" s="129"/>
      <c r="K183" s="129"/>
    </row>
    <row r="184" spans="1:11">
      <c r="A184" s="129"/>
      <c r="B184" s="129"/>
      <c r="C184" s="129"/>
      <c r="D184" s="129"/>
      <c r="E184" s="129"/>
      <c r="F184" s="129"/>
      <c r="G184" s="129"/>
      <c r="H184" s="129"/>
      <c r="I184" s="129"/>
      <c r="J184" s="129"/>
      <c r="K184" s="129"/>
    </row>
    <row r="185" spans="1:11">
      <c r="A185" s="129"/>
      <c r="B185" s="129"/>
      <c r="C185" s="129"/>
      <c r="D185" s="129"/>
      <c r="E185" s="129"/>
      <c r="F185" s="129"/>
      <c r="G185" s="129"/>
      <c r="H185" s="129"/>
      <c r="I185" s="129"/>
      <c r="J185" s="129"/>
      <c r="K185" s="129"/>
    </row>
    <row r="186" spans="1:11">
      <c r="A186" s="129"/>
      <c r="B186" s="129"/>
      <c r="C186" s="129"/>
      <c r="D186" s="129"/>
      <c r="E186" s="129"/>
      <c r="F186" s="129"/>
      <c r="G186" s="129"/>
      <c r="H186" s="129"/>
      <c r="I186" s="129"/>
      <c r="J186" s="129"/>
      <c r="K186" s="129"/>
    </row>
    <row r="187" spans="1:11">
      <c r="A187" s="129"/>
      <c r="B187" s="129"/>
      <c r="C187" s="129"/>
      <c r="D187" s="129"/>
      <c r="E187" s="129"/>
      <c r="F187" s="129"/>
      <c r="G187" s="129"/>
      <c r="H187" s="129"/>
      <c r="I187" s="129"/>
      <c r="J187" s="129"/>
      <c r="K187" s="129"/>
    </row>
    <row r="188" spans="1:11">
      <c r="A188" s="129"/>
      <c r="B188" s="129"/>
      <c r="C188" s="129"/>
      <c r="D188" s="129"/>
      <c r="E188" s="129"/>
      <c r="F188" s="129"/>
      <c r="G188" s="129"/>
      <c r="H188" s="129"/>
      <c r="I188" s="129"/>
      <c r="J188" s="129"/>
      <c r="K188" s="129"/>
    </row>
    <row r="189" spans="1:11">
      <c r="A189" s="129"/>
      <c r="B189" s="129"/>
      <c r="C189" s="129"/>
      <c r="D189" s="129"/>
      <c r="E189" s="129"/>
      <c r="F189" s="129"/>
      <c r="G189" s="129"/>
      <c r="H189" s="129"/>
      <c r="I189" s="129"/>
      <c r="J189" s="129"/>
      <c r="K189" s="129"/>
    </row>
    <row r="190" spans="1:11">
      <c r="A190" s="129"/>
      <c r="B190" s="129"/>
      <c r="C190" s="129"/>
      <c r="D190" s="129"/>
      <c r="E190" s="129"/>
      <c r="F190" s="129"/>
      <c r="G190" s="129"/>
      <c r="H190" s="129"/>
      <c r="I190" s="129"/>
      <c r="J190" s="129"/>
      <c r="K190" s="129"/>
    </row>
    <row r="191" spans="1:11">
      <c r="A191" s="129"/>
      <c r="B191" s="129"/>
      <c r="C191" s="129"/>
      <c r="D191" s="129"/>
      <c r="E191" s="129"/>
      <c r="F191" s="129"/>
      <c r="G191" s="129"/>
      <c r="H191" s="129"/>
      <c r="I191" s="129"/>
      <c r="J191" s="129"/>
      <c r="K191" s="129"/>
    </row>
    <row r="192" spans="1:11">
      <c r="A192" s="129"/>
      <c r="B192" s="129"/>
      <c r="C192" s="129"/>
      <c r="D192" s="129"/>
      <c r="E192" s="129"/>
      <c r="F192" s="129"/>
      <c r="G192" s="129"/>
      <c r="H192" s="129"/>
      <c r="I192" s="129"/>
      <c r="J192" s="129"/>
      <c r="K192" s="129"/>
    </row>
    <row r="193" spans="1:11">
      <c r="A193" s="129"/>
      <c r="B193" s="129"/>
      <c r="C193" s="129"/>
      <c r="D193" s="129"/>
      <c r="E193" s="129"/>
      <c r="F193" s="129"/>
      <c r="G193" s="129"/>
      <c r="H193" s="129"/>
      <c r="I193" s="129"/>
      <c r="J193" s="129"/>
      <c r="K193" s="129"/>
    </row>
    <row r="194" spans="1:11">
      <c r="A194" s="129"/>
      <c r="B194" s="129"/>
      <c r="C194" s="129"/>
      <c r="D194" s="129"/>
      <c r="E194" s="129"/>
      <c r="F194" s="129"/>
      <c r="G194" s="129"/>
      <c r="H194" s="129"/>
      <c r="I194" s="129"/>
      <c r="J194" s="129"/>
      <c r="K194" s="129"/>
    </row>
    <row r="195" spans="1:11">
      <c r="A195" s="129"/>
      <c r="B195" s="129"/>
      <c r="C195" s="129"/>
      <c r="D195" s="129"/>
      <c r="E195" s="129"/>
      <c r="F195" s="129"/>
      <c r="G195" s="129"/>
      <c r="H195" s="129"/>
      <c r="I195" s="129"/>
      <c r="J195" s="129"/>
      <c r="K195" s="129"/>
    </row>
    <row r="196" spans="1:11">
      <c r="A196" s="129"/>
      <c r="B196" s="129"/>
      <c r="C196" s="129"/>
      <c r="D196" s="129"/>
      <c r="E196" s="129"/>
      <c r="F196" s="129"/>
      <c r="G196" s="129"/>
      <c r="H196" s="129"/>
      <c r="I196" s="129"/>
      <c r="J196" s="129"/>
      <c r="K196" s="129"/>
    </row>
    <row r="197" spans="1:11">
      <c r="A197" s="129"/>
      <c r="B197" s="129"/>
      <c r="C197" s="129"/>
      <c r="D197" s="129"/>
      <c r="E197" s="129"/>
      <c r="F197" s="129"/>
      <c r="G197" s="129"/>
      <c r="H197" s="129"/>
      <c r="I197" s="129"/>
      <c r="J197" s="129"/>
      <c r="K197" s="129"/>
    </row>
    <row r="198" spans="1:11">
      <c r="A198" s="129"/>
      <c r="B198" s="129"/>
      <c r="C198" s="129"/>
      <c r="D198" s="129"/>
      <c r="E198" s="129"/>
      <c r="F198" s="129"/>
      <c r="G198" s="129"/>
      <c r="H198" s="129"/>
      <c r="I198" s="129"/>
      <c r="J198" s="129"/>
      <c r="K198" s="129"/>
    </row>
    <row r="199" spans="1:11">
      <c r="A199" s="129"/>
      <c r="B199" s="129"/>
      <c r="C199" s="129"/>
      <c r="D199" s="129"/>
      <c r="E199" s="129"/>
      <c r="F199" s="129"/>
      <c r="G199" s="129"/>
      <c r="H199" s="129"/>
      <c r="I199" s="129"/>
      <c r="J199" s="129"/>
      <c r="K199" s="129"/>
    </row>
    <row r="200" spans="1:11">
      <c r="A200" s="129"/>
      <c r="B200" s="129"/>
      <c r="C200" s="129"/>
      <c r="D200" s="129"/>
      <c r="E200" s="129"/>
      <c r="F200" s="129"/>
      <c r="G200" s="129"/>
      <c r="H200" s="129"/>
      <c r="I200" s="129"/>
      <c r="J200" s="129"/>
      <c r="K200" s="129"/>
    </row>
    <row r="201" spans="1:11">
      <c r="A201" s="129"/>
      <c r="B201" s="129"/>
      <c r="C201" s="129"/>
      <c r="D201" s="129"/>
      <c r="E201" s="129"/>
      <c r="F201" s="129"/>
      <c r="G201" s="129"/>
      <c r="H201" s="129"/>
      <c r="I201" s="129"/>
      <c r="J201" s="129"/>
      <c r="K201" s="129"/>
    </row>
    <row r="202" spans="1:11">
      <c r="A202" s="129"/>
      <c r="B202" s="129"/>
      <c r="C202" s="129"/>
      <c r="D202" s="129"/>
      <c r="E202" s="129"/>
      <c r="F202" s="129"/>
      <c r="G202" s="129"/>
      <c r="H202" s="129"/>
      <c r="I202" s="129"/>
      <c r="J202" s="129"/>
      <c r="K202" s="129"/>
    </row>
    <row r="203" spans="1:11">
      <c r="A203" s="129"/>
      <c r="B203" s="129"/>
      <c r="C203" s="129"/>
      <c r="D203" s="129"/>
      <c r="E203" s="129"/>
      <c r="F203" s="129"/>
      <c r="G203" s="129"/>
      <c r="H203" s="129"/>
      <c r="I203" s="129"/>
      <c r="J203" s="129"/>
      <c r="K203" s="129"/>
    </row>
    <row r="204" spans="1:11">
      <c r="A204" s="129"/>
      <c r="B204" s="129"/>
      <c r="C204" s="129"/>
      <c r="D204" s="129"/>
      <c r="E204" s="129"/>
      <c r="F204" s="129"/>
      <c r="G204" s="129"/>
      <c r="H204" s="129"/>
      <c r="I204" s="129"/>
      <c r="J204" s="129"/>
      <c r="K204" s="129"/>
    </row>
    <row r="205" spans="1:11">
      <c r="A205" s="129"/>
      <c r="B205" s="129"/>
      <c r="C205" s="129"/>
      <c r="D205" s="129"/>
      <c r="E205" s="129"/>
      <c r="F205" s="129"/>
      <c r="G205" s="129"/>
      <c r="H205" s="129"/>
      <c r="I205" s="129"/>
      <c r="J205" s="129"/>
      <c r="K205" s="129"/>
    </row>
    <row r="206" spans="1:11">
      <c r="A206" s="129"/>
      <c r="B206" s="129"/>
      <c r="C206" s="129"/>
      <c r="D206" s="129"/>
      <c r="E206" s="129"/>
      <c r="F206" s="129"/>
      <c r="G206" s="129"/>
      <c r="H206" s="129"/>
      <c r="I206" s="129"/>
      <c r="J206" s="129"/>
      <c r="K206" s="129"/>
    </row>
    <row r="207" spans="1:11">
      <c r="A207" s="129"/>
      <c r="B207" s="129"/>
      <c r="C207" s="129"/>
      <c r="D207" s="129"/>
      <c r="E207" s="129"/>
      <c r="F207" s="129"/>
      <c r="G207" s="129"/>
      <c r="H207" s="129"/>
      <c r="I207" s="129"/>
      <c r="J207" s="129"/>
      <c r="K207" s="129"/>
    </row>
    <row r="208" spans="1:11">
      <c r="A208" s="129"/>
      <c r="B208" s="129"/>
      <c r="C208" s="129"/>
      <c r="D208" s="129"/>
      <c r="E208" s="129"/>
      <c r="F208" s="129"/>
      <c r="G208" s="129"/>
      <c r="H208" s="129"/>
      <c r="I208" s="129"/>
      <c r="J208" s="129"/>
      <c r="K208" s="129"/>
    </row>
    <row r="209" spans="1:11">
      <c r="A209" s="129"/>
      <c r="B209" s="129"/>
      <c r="C209" s="129"/>
      <c r="D209" s="129"/>
      <c r="E209" s="129"/>
      <c r="F209" s="129"/>
      <c r="G209" s="129"/>
      <c r="H209" s="129"/>
      <c r="I209" s="129"/>
      <c r="J209" s="129"/>
      <c r="K209" s="129"/>
    </row>
    <row r="210" spans="1:11">
      <c r="A210" s="129"/>
      <c r="B210" s="129"/>
      <c r="C210" s="129"/>
      <c r="D210" s="129"/>
      <c r="E210" s="129"/>
      <c r="F210" s="129"/>
      <c r="G210" s="129"/>
      <c r="H210" s="129"/>
      <c r="I210" s="129"/>
      <c r="J210" s="129"/>
      <c r="K210" s="129"/>
    </row>
    <row r="211" spans="1:11">
      <c r="A211" s="129"/>
      <c r="B211" s="129"/>
      <c r="C211" s="129"/>
      <c r="D211" s="129"/>
      <c r="E211" s="129"/>
      <c r="F211" s="129"/>
      <c r="G211" s="129"/>
      <c r="H211" s="129"/>
      <c r="I211" s="129"/>
      <c r="J211" s="129"/>
      <c r="K211" s="129"/>
    </row>
    <row r="212" spans="1:11">
      <c r="A212" s="129"/>
      <c r="B212" s="129"/>
      <c r="C212" s="129"/>
      <c r="D212" s="129"/>
      <c r="E212" s="129"/>
      <c r="F212" s="129"/>
      <c r="G212" s="129"/>
      <c r="H212" s="129"/>
      <c r="I212" s="129"/>
      <c r="J212" s="129"/>
      <c r="K212" s="129"/>
    </row>
    <row r="213" spans="1:11">
      <c r="A213" s="129"/>
      <c r="B213" s="129"/>
      <c r="C213" s="129"/>
      <c r="D213" s="129"/>
      <c r="E213" s="129"/>
      <c r="F213" s="129"/>
      <c r="G213" s="129"/>
      <c r="H213" s="129"/>
      <c r="I213" s="129"/>
      <c r="J213" s="129"/>
      <c r="K213" s="129"/>
    </row>
    <row r="214" spans="1:11">
      <c r="A214" s="129"/>
      <c r="B214" s="129"/>
      <c r="C214" s="129"/>
      <c r="D214" s="129"/>
      <c r="E214" s="129"/>
      <c r="F214" s="129"/>
      <c r="G214" s="129"/>
      <c r="H214" s="129"/>
      <c r="I214" s="129"/>
      <c r="J214" s="129"/>
      <c r="K214" s="129"/>
    </row>
    <row r="215" spans="1:11">
      <c r="A215" s="129"/>
      <c r="B215" s="129"/>
      <c r="C215" s="129"/>
      <c r="D215" s="129"/>
      <c r="E215" s="129"/>
      <c r="F215" s="129"/>
      <c r="G215" s="129"/>
      <c r="H215" s="129"/>
      <c r="I215" s="129"/>
      <c r="J215" s="129"/>
      <c r="K215" s="129"/>
    </row>
    <row r="216" spans="1:11">
      <c r="A216" s="129"/>
      <c r="B216" s="129"/>
      <c r="C216" s="129"/>
      <c r="D216" s="129"/>
      <c r="E216" s="129"/>
      <c r="F216" s="129"/>
      <c r="G216" s="129"/>
      <c r="H216" s="129"/>
      <c r="I216" s="129"/>
      <c r="J216" s="129"/>
      <c r="K216" s="129"/>
    </row>
    <row r="217" spans="1:11">
      <c r="A217" s="129"/>
      <c r="B217" s="129"/>
      <c r="C217" s="129"/>
      <c r="D217" s="129"/>
      <c r="E217" s="129"/>
      <c r="F217" s="129"/>
      <c r="G217" s="129"/>
      <c r="H217" s="129"/>
      <c r="I217" s="129"/>
      <c r="J217" s="129"/>
      <c r="K217" s="129"/>
    </row>
    <row r="218" spans="1:11">
      <c r="A218" s="129"/>
      <c r="B218" s="129"/>
      <c r="C218" s="129"/>
      <c r="D218" s="129"/>
      <c r="E218" s="129"/>
      <c r="F218" s="129"/>
      <c r="G218" s="129"/>
      <c r="H218" s="129"/>
      <c r="I218" s="129"/>
      <c r="J218" s="129"/>
      <c r="K218" s="129"/>
    </row>
    <row r="219" spans="1:11">
      <c r="A219" s="129"/>
      <c r="B219" s="129"/>
      <c r="C219" s="129"/>
      <c r="D219" s="129"/>
      <c r="E219" s="129"/>
      <c r="F219" s="129"/>
      <c r="G219" s="129"/>
      <c r="H219" s="129"/>
      <c r="I219" s="129"/>
      <c r="J219" s="129"/>
      <c r="K219" s="129"/>
    </row>
    <row r="220" spans="1:11">
      <c r="A220" s="129"/>
      <c r="B220" s="129"/>
      <c r="C220" s="129"/>
      <c r="D220" s="129"/>
      <c r="E220" s="129"/>
      <c r="F220" s="129"/>
      <c r="G220" s="129"/>
      <c r="H220" s="129"/>
      <c r="I220" s="129"/>
      <c r="J220" s="129"/>
      <c r="K220" s="129"/>
    </row>
    <row r="221" spans="1:11">
      <c r="A221" s="129"/>
      <c r="B221" s="129"/>
      <c r="C221" s="129"/>
      <c r="D221" s="129"/>
      <c r="E221" s="129"/>
      <c r="F221" s="129"/>
      <c r="G221" s="129"/>
      <c r="H221" s="129"/>
      <c r="I221" s="129"/>
      <c r="J221" s="129"/>
      <c r="K221" s="129"/>
    </row>
    <row r="222" spans="1:11">
      <c r="A222" s="129"/>
      <c r="B222" s="129"/>
      <c r="C222" s="129"/>
      <c r="D222" s="129"/>
      <c r="E222" s="129"/>
      <c r="F222" s="129"/>
      <c r="G222" s="129"/>
      <c r="H222" s="129"/>
      <c r="I222" s="129"/>
      <c r="J222" s="129"/>
      <c r="K222" s="129"/>
    </row>
    <row r="223" spans="1:11">
      <c r="A223" s="129"/>
      <c r="B223" s="129"/>
      <c r="C223" s="129"/>
      <c r="D223" s="129"/>
      <c r="E223" s="129"/>
      <c r="F223" s="129"/>
      <c r="G223" s="129"/>
      <c r="H223" s="129"/>
      <c r="I223" s="129"/>
      <c r="J223" s="129"/>
      <c r="K223" s="129"/>
    </row>
    <row r="224" spans="1:11">
      <c r="A224" s="129"/>
      <c r="B224" s="129"/>
      <c r="C224" s="129"/>
      <c r="D224" s="129"/>
      <c r="E224" s="129"/>
      <c r="F224" s="129"/>
      <c r="G224" s="129"/>
      <c r="H224" s="129"/>
      <c r="I224" s="129"/>
      <c r="J224" s="129"/>
      <c r="K224" s="129"/>
    </row>
    <row r="225" spans="1:11">
      <c r="A225" s="129"/>
      <c r="B225" s="129"/>
      <c r="C225" s="129"/>
      <c r="D225" s="129"/>
      <c r="E225" s="129"/>
      <c r="F225" s="129"/>
      <c r="G225" s="129"/>
      <c r="H225" s="129"/>
      <c r="I225" s="129"/>
      <c r="J225" s="129"/>
      <c r="K225" s="129"/>
    </row>
    <row r="226" spans="1:11">
      <c r="A226" s="129"/>
      <c r="B226" s="129"/>
      <c r="C226" s="129"/>
      <c r="D226" s="129"/>
      <c r="E226" s="129"/>
      <c r="F226" s="129"/>
      <c r="G226" s="129"/>
      <c r="H226" s="129"/>
      <c r="I226" s="129"/>
      <c r="J226" s="129"/>
      <c r="K226" s="129"/>
    </row>
    <row r="227" spans="1:11">
      <c r="A227" s="129"/>
      <c r="B227" s="129"/>
      <c r="C227" s="129"/>
      <c r="D227" s="129"/>
      <c r="E227" s="129"/>
      <c r="F227" s="129"/>
      <c r="G227" s="129"/>
      <c r="H227" s="129"/>
      <c r="I227" s="129"/>
      <c r="J227" s="129"/>
      <c r="K227" s="129"/>
    </row>
    <row r="228" spans="1:11">
      <c r="A228" s="129"/>
      <c r="B228" s="129"/>
      <c r="C228" s="129"/>
      <c r="D228" s="129"/>
      <c r="E228" s="129"/>
      <c r="F228" s="129"/>
      <c r="G228" s="129"/>
      <c r="H228" s="129"/>
      <c r="I228" s="129"/>
      <c r="J228" s="129"/>
      <c r="K228" s="129"/>
    </row>
    <row r="229" spans="1:11">
      <c r="A229" s="129"/>
      <c r="B229" s="129"/>
      <c r="C229" s="129"/>
      <c r="D229" s="129"/>
      <c r="E229" s="129"/>
      <c r="F229" s="129"/>
      <c r="G229" s="129"/>
      <c r="H229" s="129"/>
      <c r="I229" s="129"/>
      <c r="J229" s="129"/>
      <c r="K229" s="129"/>
    </row>
    <row r="230" spans="1:11">
      <c r="A230" s="129"/>
      <c r="B230" s="129"/>
      <c r="C230" s="129"/>
      <c r="D230" s="129"/>
      <c r="E230" s="129"/>
      <c r="F230" s="129"/>
      <c r="G230" s="129"/>
      <c r="H230" s="129"/>
      <c r="I230" s="129"/>
      <c r="J230" s="129"/>
      <c r="K230" s="129"/>
    </row>
    <row r="231" spans="1:11">
      <c r="A231" s="129"/>
      <c r="B231" s="129"/>
      <c r="C231" s="129"/>
      <c r="D231" s="129"/>
      <c r="E231" s="129"/>
      <c r="F231" s="129"/>
      <c r="G231" s="129"/>
      <c r="H231" s="129"/>
      <c r="I231" s="129"/>
      <c r="J231" s="129"/>
      <c r="K231" s="129"/>
    </row>
    <row r="232" spans="1:11">
      <c r="A232" s="129"/>
      <c r="B232" s="129"/>
      <c r="C232" s="129"/>
      <c r="D232" s="129"/>
      <c r="E232" s="129"/>
      <c r="F232" s="129"/>
      <c r="G232" s="129"/>
      <c r="H232" s="129"/>
      <c r="I232" s="129"/>
      <c r="J232" s="129"/>
      <c r="K232" s="129"/>
    </row>
    <row r="233" spans="1:11">
      <c r="A233" s="129"/>
      <c r="B233" s="129"/>
      <c r="C233" s="129"/>
      <c r="D233" s="129"/>
      <c r="E233" s="129"/>
      <c r="F233" s="129"/>
      <c r="G233" s="129"/>
      <c r="H233" s="129"/>
      <c r="I233" s="129"/>
      <c r="J233" s="129"/>
      <c r="K233" s="129"/>
    </row>
    <row r="234" spans="1:11">
      <c r="A234" s="129"/>
      <c r="B234" s="129"/>
      <c r="C234" s="129"/>
      <c r="D234" s="129"/>
      <c r="E234" s="129"/>
      <c r="F234" s="129"/>
      <c r="G234" s="129"/>
      <c r="H234" s="129"/>
      <c r="I234" s="129"/>
      <c r="J234" s="129"/>
      <c r="K234" s="129"/>
    </row>
    <row r="235" spans="1:11">
      <c r="A235" s="129"/>
      <c r="B235" s="129"/>
      <c r="C235" s="129"/>
      <c r="D235" s="129"/>
      <c r="E235" s="129"/>
      <c r="F235" s="129"/>
      <c r="G235" s="129"/>
      <c r="H235" s="129"/>
      <c r="I235" s="129"/>
      <c r="J235" s="129"/>
      <c r="K235" s="129"/>
    </row>
    <row r="236" spans="1:11">
      <c r="A236" s="129"/>
      <c r="B236" s="129"/>
      <c r="C236" s="129"/>
      <c r="D236" s="129"/>
      <c r="E236" s="129"/>
      <c r="F236" s="129"/>
      <c r="G236" s="129"/>
      <c r="H236" s="129"/>
      <c r="I236" s="129"/>
      <c r="J236" s="129"/>
      <c r="K236" s="129"/>
    </row>
    <row r="237" spans="1:11">
      <c r="A237" s="129"/>
      <c r="B237" s="129"/>
      <c r="C237" s="129"/>
      <c r="D237" s="129"/>
      <c r="E237" s="129"/>
      <c r="F237" s="129"/>
      <c r="G237" s="129"/>
      <c r="H237" s="129"/>
      <c r="I237" s="129"/>
      <c r="J237" s="129"/>
      <c r="K237" s="129"/>
    </row>
    <row r="238" spans="1:11">
      <c r="A238" s="129"/>
      <c r="B238" s="129"/>
      <c r="C238" s="129"/>
      <c r="D238" s="129"/>
      <c r="E238" s="129"/>
      <c r="F238" s="129"/>
      <c r="G238" s="129"/>
      <c r="H238" s="129"/>
      <c r="I238" s="129"/>
      <c r="J238" s="129"/>
      <c r="K238" s="129"/>
    </row>
    <row r="239" spans="1:11">
      <c r="A239" s="129"/>
      <c r="B239" s="129"/>
      <c r="C239" s="129"/>
      <c r="D239" s="129"/>
      <c r="E239" s="129"/>
      <c r="F239" s="129"/>
      <c r="G239" s="129"/>
      <c r="H239" s="129"/>
      <c r="I239" s="129"/>
      <c r="J239" s="129"/>
      <c r="K239" s="129"/>
    </row>
    <row r="240" spans="1:11">
      <c r="A240" s="129"/>
      <c r="B240" s="129"/>
      <c r="C240" s="129"/>
      <c r="D240" s="129"/>
      <c r="E240" s="129"/>
      <c r="F240" s="129"/>
      <c r="G240" s="129"/>
      <c r="H240" s="129"/>
      <c r="I240" s="129"/>
      <c r="J240" s="129"/>
      <c r="K240" s="129"/>
    </row>
    <row r="241" spans="1:11">
      <c r="A241" s="129"/>
      <c r="B241" s="129"/>
      <c r="C241" s="129"/>
      <c r="D241" s="129"/>
      <c r="E241" s="129"/>
      <c r="F241" s="129"/>
      <c r="G241" s="129"/>
      <c r="H241" s="129"/>
      <c r="I241" s="129"/>
      <c r="J241" s="129"/>
      <c r="K241" s="129"/>
    </row>
    <row r="242" spans="1:11">
      <c r="A242" s="129"/>
      <c r="B242" s="129"/>
      <c r="C242" s="129"/>
      <c r="D242" s="129"/>
      <c r="E242" s="129"/>
      <c r="F242" s="129"/>
      <c r="G242" s="129"/>
      <c r="H242" s="129"/>
      <c r="I242" s="129"/>
      <c r="J242" s="129"/>
      <c r="K242" s="129"/>
    </row>
    <row r="243" spans="1:11">
      <c r="A243" s="129"/>
      <c r="B243" s="129"/>
      <c r="C243" s="129"/>
      <c r="D243" s="129"/>
      <c r="E243" s="129"/>
      <c r="F243" s="129"/>
      <c r="G243" s="129"/>
      <c r="H243" s="129"/>
      <c r="I243" s="129"/>
      <c r="J243" s="129"/>
      <c r="K243" s="129"/>
    </row>
    <row r="244" spans="1:11">
      <c r="A244" s="129"/>
      <c r="B244" s="129"/>
      <c r="C244" s="129"/>
      <c r="D244" s="129"/>
      <c r="E244" s="129"/>
      <c r="F244" s="129"/>
      <c r="G244" s="129"/>
      <c r="H244" s="129"/>
      <c r="I244" s="129"/>
      <c r="J244" s="129"/>
      <c r="K244" s="129"/>
    </row>
    <row r="245" spans="1:11">
      <c r="A245" s="129"/>
      <c r="B245" s="129"/>
      <c r="C245" s="129"/>
      <c r="D245" s="129"/>
      <c r="E245" s="129"/>
      <c r="F245" s="129"/>
      <c r="G245" s="129"/>
      <c r="H245" s="129"/>
      <c r="I245" s="129"/>
      <c r="J245" s="129"/>
      <c r="K245" s="129"/>
    </row>
    <row r="246" spans="1:11">
      <c r="A246" s="129"/>
      <c r="B246" s="129"/>
      <c r="C246" s="129"/>
      <c r="D246" s="129"/>
      <c r="E246" s="129"/>
      <c r="F246" s="129"/>
      <c r="G246" s="129"/>
      <c r="H246" s="129"/>
      <c r="I246" s="129"/>
      <c r="J246" s="129"/>
      <c r="K246" s="129"/>
    </row>
    <row r="247" spans="1:11">
      <c r="A247" s="129"/>
      <c r="B247" s="129"/>
      <c r="C247" s="129"/>
      <c r="D247" s="129"/>
      <c r="E247" s="129"/>
      <c r="F247" s="129"/>
      <c r="G247" s="129"/>
      <c r="H247" s="129"/>
      <c r="I247" s="129"/>
      <c r="J247" s="129"/>
      <c r="K247" s="129"/>
    </row>
    <row r="248" spans="1:11">
      <c r="A248" s="129"/>
      <c r="B248" s="129"/>
      <c r="C248" s="129"/>
      <c r="D248" s="129"/>
      <c r="E248" s="129"/>
      <c r="F248" s="129"/>
      <c r="G248" s="129"/>
      <c r="H248" s="129"/>
      <c r="I248" s="129"/>
      <c r="J248" s="129"/>
      <c r="K248" s="129"/>
    </row>
    <row r="249" spans="1:11">
      <c r="A249" s="129"/>
      <c r="B249" s="129"/>
      <c r="C249" s="129"/>
      <c r="D249" s="129"/>
      <c r="E249" s="129"/>
      <c r="F249" s="129"/>
      <c r="G249" s="129"/>
      <c r="H249" s="129"/>
      <c r="I249" s="129"/>
      <c r="J249" s="129"/>
      <c r="K249" s="129"/>
    </row>
    <row r="250" spans="1:11">
      <c r="A250" s="129"/>
      <c r="B250" s="129"/>
      <c r="C250" s="129"/>
      <c r="D250" s="129"/>
      <c r="E250" s="129"/>
      <c r="F250" s="129"/>
      <c r="G250" s="129"/>
      <c r="H250" s="129"/>
      <c r="I250" s="129"/>
      <c r="J250" s="129"/>
      <c r="K250" s="129"/>
    </row>
    <row r="251" spans="1:11">
      <c r="A251" s="129"/>
      <c r="B251" s="129"/>
      <c r="C251" s="129"/>
      <c r="D251" s="129"/>
      <c r="E251" s="129"/>
      <c r="F251" s="129"/>
      <c r="G251" s="129"/>
      <c r="H251" s="129"/>
      <c r="I251" s="129"/>
      <c r="J251" s="129"/>
      <c r="K251" s="129"/>
    </row>
    <row r="252" spans="1:11">
      <c r="A252" s="129"/>
      <c r="B252" s="129"/>
      <c r="C252" s="129"/>
      <c r="D252" s="129"/>
      <c r="E252" s="129"/>
      <c r="F252" s="129"/>
      <c r="G252" s="129"/>
      <c r="H252" s="129"/>
      <c r="I252" s="129"/>
      <c r="J252" s="129"/>
      <c r="K252" s="129"/>
    </row>
    <row r="253" spans="1:11">
      <c r="A253" s="129"/>
      <c r="B253" s="129"/>
      <c r="C253" s="129"/>
      <c r="D253" s="129"/>
      <c r="E253" s="129"/>
      <c r="F253" s="129"/>
      <c r="G253" s="129"/>
      <c r="H253" s="129"/>
      <c r="I253" s="129"/>
      <c r="J253" s="129"/>
      <c r="K253" s="129"/>
    </row>
    <row r="254" spans="1:11">
      <c r="A254" s="129"/>
      <c r="B254" s="129"/>
      <c r="C254" s="129"/>
      <c r="D254" s="129"/>
      <c r="E254" s="129"/>
      <c r="F254" s="129"/>
      <c r="G254" s="129"/>
      <c r="H254" s="129"/>
      <c r="I254" s="129"/>
      <c r="J254" s="129"/>
      <c r="K254" s="129"/>
    </row>
    <row r="255" spans="1:11">
      <c r="A255" s="129"/>
      <c r="B255" s="129"/>
      <c r="C255" s="129"/>
      <c r="D255" s="129"/>
      <c r="E255" s="129"/>
      <c r="F255" s="129"/>
      <c r="G255" s="129"/>
      <c r="H255" s="129"/>
      <c r="I255" s="129"/>
      <c r="J255" s="129"/>
      <c r="K255" s="129"/>
    </row>
    <row r="256" spans="1:11">
      <c r="A256" s="129"/>
      <c r="B256" s="129"/>
      <c r="C256" s="129"/>
      <c r="D256" s="129"/>
      <c r="E256" s="129"/>
      <c r="F256" s="129"/>
      <c r="G256" s="129"/>
      <c r="H256" s="129"/>
      <c r="I256" s="129"/>
      <c r="J256" s="129"/>
      <c r="K256" s="129"/>
    </row>
    <row r="257" spans="1:11">
      <c r="A257" s="129"/>
      <c r="B257" s="129"/>
      <c r="C257" s="129"/>
      <c r="D257" s="129"/>
      <c r="E257" s="129"/>
      <c r="F257" s="129"/>
      <c r="G257" s="129"/>
      <c r="H257" s="129"/>
      <c r="I257" s="129"/>
      <c r="J257" s="129"/>
      <c r="K257" s="129"/>
    </row>
    <row r="258" spans="1:11">
      <c r="A258" s="129"/>
      <c r="B258" s="129"/>
      <c r="C258" s="129"/>
      <c r="D258" s="129"/>
      <c r="E258" s="129"/>
      <c r="F258" s="129"/>
      <c r="G258" s="129"/>
      <c r="H258" s="129"/>
      <c r="I258" s="129"/>
      <c r="J258" s="129"/>
      <c r="K258" s="129"/>
    </row>
    <row r="259" spans="1:11">
      <c r="A259" s="129"/>
      <c r="B259" s="129"/>
      <c r="C259" s="129"/>
      <c r="D259" s="129"/>
      <c r="E259" s="129"/>
      <c r="F259" s="129"/>
      <c r="G259" s="129"/>
      <c r="H259" s="129"/>
      <c r="I259" s="129"/>
      <c r="J259" s="129"/>
      <c r="K259" s="129"/>
    </row>
    <row r="260" spans="1:11">
      <c r="A260" s="129"/>
      <c r="B260" s="129"/>
      <c r="C260" s="129"/>
      <c r="D260" s="129"/>
      <c r="E260" s="129"/>
      <c r="F260" s="129"/>
      <c r="G260" s="129"/>
      <c r="H260" s="129"/>
      <c r="I260" s="129"/>
      <c r="J260" s="129"/>
      <c r="K260" s="129"/>
    </row>
    <row r="261" spans="1:11">
      <c r="A261" s="129"/>
      <c r="B261" s="129"/>
      <c r="C261" s="129"/>
      <c r="D261" s="129"/>
      <c r="E261" s="129"/>
      <c r="F261" s="129"/>
      <c r="G261" s="129"/>
      <c r="H261" s="129"/>
      <c r="I261" s="129"/>
      <c r="J261" s="129"/>
      <c r="K261" s="129"/>
    </row>
    <row r="262" spans="1:11">
      <c r="A262" s="129"/>
      <c r="B262" s="129"/>
      <c r="C262" s="129"/>
      <c r="D262" s="129"/>
      <c r="E262" s="129"/>
      <c r="F262" s="129"/>
      <c r="G262" s="129"/>
      <c r="H262" s="129"/>
      <c r="I262" s="129"/>
      <c r="J262" s="129"/>
      <c r="K262" s="129"/>
    </row>
    <row r="263" spans="1:11">
      <c r="A263" s="129"/>
      <c r="B263" s="129"/>
      <c r="C263" s="129"/>
      <c r="D263" s="129"/>
      <c r="E263" s="129"/>
      <c r="F263" s="129"/>
      <c r="G263" s="129"/>
      <c r="H263" s="129"/>
      <c r="I263" s="129"/>
      <c r="J263" s="129"/>
      <c r="K263" s="129"/>
    </row>
    <row r="264" spans="1:11">
      <c r="A264" s="129"/>
      <c r="B264" s="129"/>
      <c r="C264" s="129"/>
      <c r="D264" s="129"/>
      <c r="E264" s="129"/>
      <c r="F264" s="129"/>
      <c r="G264" s="129"/>
      <c r="H264" s="129"/>
      <c r="I264" s="129"/>
      <c r="J264" s="129"/>
      <c r="K264" s="129"/>
    </row>
    <row r="265" spans="1:11">
      <c r="A265" s="129"/>
      <c r="B265" s="129"/>
      <c r="C265" s="129"/>
      <c r="D265" s="129"/>
      <c r="E265" s="129"/>
      <c r="F265" s="129"/>
      <c r="G265" s="129"/>
      <c r="H265" s="129"/>
      <c r="I265" s="129"/>
      <c r="J265" s="129"/>
      <c r="K265" s="129"/>
    </row>
    <row r="266" spans="1:11">
      <c r="A266" s="129"/>
      <c r="B266" s="129"/>
      <c r="C266" s="129"/>
      <c r="D266" s="129"/>
      <c r="E266" s="129"/>
      <c r="F266" s="129"/>
      <c r="G266" s="129"/>
      <c r="H266" s="129"/>
      <c r="I266" s="129"/>
      <c r="J266" s="129"/>
      <c r="K266" s="129"/>
    </row>
    <row r="267" spans="1:11">
      <c r="A267" s="129"/>
      <c r="B267" s="129"/>
      <c r="C267" s="129"/>
      <c r="D267" s="129"/>
      <c r="E267" s="129"/>
      <c r="F267" s="129"/>
      <c r="G267" s="129"/>
      <c r="H267" s="129"/>
      <c r="I267" s="129"/>
      <c r="J267" s="129"/>
      <c r="K267" s="129"/>
    </row>
    <row r="268" spans="1:11">
      <c r="A268" s="129"/>
      <c r="B268" s="129"/>
      <c r="C268" s="129"/>
      <c r="D268" s="129"/>
      <c r="E268" s="129"/>
      <c r="F268" s="129"/>
      <c r="G268" s="129"/>
      <c r="H268" s="129"/>
      <c r="I268" s="129"/>
      <c r="J268" s="129"/>
      <c r="K268" s="129"/>
    </row>
    <row r="269" spans="1:11">
      <c r="A269" s="129"/>
      <c r="B269" s="129"/>
      <c r="C269" s="129"/>
      <c r="D269" s="129"/>
      <c r="E269" s="129"/>
      <c r="F269" s="129"/>
      <c r="G269" s="129"/>
      <c r="H269" s="129"/>
      <c r="I269" s="129"/>
      <c r="J269" s="129"/>
      <c r="K269" s="129"/>
    </row>
    <row r="270" spans="1:11">
      <c r="A270" s="129"/>
      <c r="B270" s="129"/>
      <c r="C270" s="129"/>
      <c r="D270" s="129"/>
      <c r="E270" s="129"/>
      <c r="F270" s="129"/>
      <c r="G270" s="129"/>
      <c r="H270" s="129"/>
      <c r="I270" s="129"/>
      <c r="J270" s="129"/>
      <c r="K270" s="129"/>
    </row>
    <row r="271" spans="1:11">
      <c r="A271" s="129"/>
      <c r="B271" s="129"/>
      <c r="C271" s="129"/>
      <c r="D271" s="129"/>
      <c r="E271" s="129"/>
      <c r="F271" s="129"/>
      <c r="G271" s="129"/>
      <c r="H271" s="129"/>
      <c r="I271" s="129"/>
      <c r="J271" s="129"/>
      <c r="K271" s="129"/>
    </row>
    <row r="272" spans="1:11">
      <c r="A272" s="129"/>
      <c r="B272" s="129"/>
      <c r="C272" s="129"/>
      <c r="D272" s="129"/>
      <c r="E272" s="129"/>
      <c r="F272" s="129"/>
      <c r="G272" s="129"/>
      <c r="H272" s="129"/>
      <c r="I272" s="129"/>
      <c r="J272" s="129"/>
      <c r="K272" s="129"/>
    </row>
    <row r="273" spans="1:11">
      <c r="A273" s="129"/>
      <c r="B273" s="129"/>
      <c r="C273" s="129"/>
      <c r="D273" s="129"/>
      <c r="E273" s="129"/>
      <c r="F273" s="129"/>
      <c r="G273" s="129"/>
      <c r="H273" s="129"/>
      <c r="I273" s="129"/>
      <c r="J273" s="129"/>
      <c r="K273" s="129"/>
    </row>
    <row r="274" spans="1:11">
      <c r="A274" s="129"/>
      <c r="B274" s="129"/>
      <c r="C274" s="129"/>
      <c r="D274" s="129"/>
      <c r="E274" s="129"/>
      <c r="F274" s="129"/>
      <c r="G274" s="129"/>
      <c r="H274" s="129"/>
      <c r="I274" s="129"/>
      <c r="J274" s="129"/>
      <c r="K274" s="129"/>
    </row>
    <row r="275" spans="1:11">
      <c r="A275" s="129"/>
      <c r="B275" s="129"/>
      <c r="C275" s="129"/>
      <c r="D275" s="129"/>
      <c r="E275" s="129"/>
      <c r="F275" s="129"/>
      <c r="G275" s="129"/>
      <c r="H275" s="129"/>
      <c r="I275" s="129"/>
      <c r="J275" s="129"/>
      <c r="K275" s="129"/>
    </row>
    <row r="276" spans="1:11">
      <c r="A276" s="129"/>
      <c r="B276" s="129"/>
      <c r="C276" s="129"/>
      <c r="D276" s="129"/>
      <c r="E276" s="129"/>
      <c r="F276" s="129"/>
      <c r="G276" s="129"/>
      <c r="H276" s="129"/>
      <c r="I276" s="129"/>
      <c r="J276" s="129"/>
      <c r="K276" s="129"/>
    </row>
    <row r="277" spans="1:11">
      <c r="A277" s="129"/>
      <c r="B277" s="129"/>
      <c r="C277" s="129"/>
      <c r="D277" s="129"/>
      <c r="E277" s="129"/>
      <c r="F277" s="129"/>
      <c r="G277" s="129"/>
      <c r="H277" s="129"/>
      <c r="I277" s="129"/>
      <c r="J277" s="129"/>
      <c r="K277" s="129"/>
    </row>
    <row r="278" spans="1:11">
      <c r="A278" s="129"/>
      <c r="B278" s="129"/>
      <c r="C278" s="129"/>
      <c r="D278" s="129"/>
      <c r="E278" s="129"/>
      <c r="F278" s="129"/>
      <c r="G278" s="129"/>
      <c r="H278" s="129"/>
      <c r="I278" s="129"/>
      <c r="J278" s="129"/>
      <c r="K278" s="129"/>
    </row>
    <row r="279" spans="1:11">
      <c r="A279" s="129"/>
      <c r="B279" s="129"/>
      <c r="C279" s="129"/>
      <c r="D279" s="129"/>
      <c r="E279" s="129"/>
      <c r="F279" s="129"/>
      <c r="G279" s="129"/>
      <c r="H279" s="129"/>
      <c r="I279" s="129"/>
      <c r="J279" s="129"/>
      <c r="K279" s="129"/>
    </row>
    <row r="280" spans="1:11">
      <c r="A280" s="129"/>
      <c r="B280" s="129"/>
      <c r="C280" s="129"/>
      <c r="D280" s="129"/>
      <c r="E280" s="129"/>
      <c r="F280" s="129"/>
      <c r="G280" s="129"/>
      <c r="H280" s="129"/>
      <c r="I280" s="129"/>
      <c r="J280" s="129"/>
      <c r="K280" s="129"/>
    </row>
    <row r="281" spans="1:11">
      <c r="A281" s="129"/>
      <c r="B281" s="129"/>
      <c r="C281" s="129"/>
      <c r="D281" s="129"/>
      <c r="E281" s="129"/>
      <c r="F281" s="129"/>
      <c r="G281" s="129"/>
      <c r="H281" s="129"/>
      <c r="I281" s="129"/>
      <c r="J281" s="129"/>
      <c r="K281" s="129"/>
    </row>
    <row r="282" spans="1:11">
      <c r="A282" s="129"/>
      <c r="B282" s="129"/>
      <c r="C282" s="129"/>
      <c r="D282" s="129"/>
      <c r="E282" s="129"/>
      <c r="F282" s="129"/>
      <c r="G282" s="129"/>
      <c r="H282" s="129"/>
      <c r="I282" s="129"/>
      <c r="J282" s="129"/>
      <c r="K282" s="129"/>
    </row>
    <row r="283" spans="1:11">
      <c r="A283" s="129"/>
      <c r="B283" s="129"/>
      <c r="C283" s="129"/>
      <c r="D283" s="129"/>
      <c r="E283" s="129"/>
      <c r="F283" s="129"/>
      <c r="G283" s="129"/>
      <c r="H283" s="129"/>
      <c r="I283" s="129"/>
      <c r="J283" s="129"/>
      <c r="K283" s="129"/>
    </row>
    <row r="284" spans="1:11">
      <c r="A284" s="129"/>
      <c r="B284" s="129"/>
      <c r="C284" s="129"/>
      <c r="D284" s="129"/>
      <c r="E284" s="129"/>
      <c r="F284" s="129"/>
      <c r="G284" s="129"/>
      <c r="H284" s="129"/>
      <c r="I284" s="129"/>
      <c r="J284" s="129"/>
      <c r="K284" s="129"/>
    </row>
    <row r="285" spans="1:11">
      <c r="A285" s="129"/>
      <c r="B285" s="129"/>
      <c r="C285" s="129"/>
      <c r="D285" s="129"/>
      <c r="E285" s="129"/>
      <c r="F285" s="129"/>
      <c r="G285" s="129"/>
      <c r="H285" s="129"/>
      <c r="I285" s="129"/>
      <c r="J285" s="129"/>
      <c r="K285" s="129"/>
    </row>
    <row r="286" spans="1:11">
      <c r="A286" s="129"/>
      <c r="B286" s="129"/>
      <c r="C286" s="129"/>
      <c r="D286" s="129"/>
      <c r="E286" s="129"/>
      <c r="F286" s="129"/>
      <c r="G286" s="129"/>
      <c r="H286" s="129"/>
      <c r="I286" s="129"/>
      <c r="J286" s="129"/>
      <c r="K286" s="129"/>
    </row>
    <row r="287" spans="1:11">
      <c r="A287" s="129"/>
      <c r="B287" s="129"/>
      <c r="C287" s="129"/>
      <c r="D287" s="129"/>
      <c r="E287" s="129"/>
      <c r="F287" s="129"/>
      <c r="G287" s="129"/>
      <c r="H287" s="129"/>
      <c r="I287" s="129"/>
      <c r="J287" s="129"/>
      <c r="K287" s="129"/>
    </row>
    <row r="288" spans="1:11">
      <c r="A288" s="129"/>
      <c r="B288" s="129"/>
      <c r="C288" s="129"/>
      <c r="D288" s="129"/>
      <c r="E288" s="129"/>
      <c r="F288" s="129"/>
      <c r="G288" s="129"/>
      <c r="H288" s="129"/>
      <c r="I288" s="129"/>
      <c r="J288" s="129"/>
      <c r="K288" s="129"/>
    </row>
    <row r="289" spans="1:11">
      <c r="A289" s="129"/>
      <c r="B289" s="129"/>
      <c r="C289" s="129"/>
      <c r="D289" s="129"/>
      <c r="E289" s="129"/>
      <c r="F289" s="129"/>
      <c r="G289" s="129"/>
      <c r="H289" s="129"/>
      <c r="I289" s="129"/>
      <c r="J289" s="129"/>
      <c r="K289" s="129"/>
    </row>
    <row r="290" spans="1:11">
      <c r="A290" s="129"/>
      <c r="B290" s="129"/>
      <c r="C290" s="129"/>
      <c r="D290" s="129"/>
      <c r="E290" s="129"/>
      <c r="F290" s="129"/>
      <c r="G290" s="129"/>
      <c r="H290" s="129"/>
      <c r="I290" s="129"/>
      <c r="J290" s="129"/>
      <c r="K290" s="129"/>
    </row>
    <row r="291" spans="1:11">
      <c r="A291" s="129"/>
      <c r="B291" s="129"/>
      <c r="C291" s="129"/>
      <c r="D291" s="129"/>
      <c r="E291" s="129"/>
      <c r="F291" s="129"/>
      <c r="G291" s="129"/>
      <c r="H291" s="129"/>
      <c r="I291" s="129"/>
      <c r="J291" s="129"/>
      <c r="K291" s="129"/>
    </row>
    <row r="292" spans="1:11">
      <c r="A292" s="129"/>
      <c r="B292" s="129"/>
      <c r="C292" s="129"/>
      <c r="D292" s="129"/>
      <c r="E292" s="129"/>
      <c r="F292" s="129"/>
      <c r="G292" s="129"/>
      <c r="H292" s="129"/>
      <c r="I292" s="129"/>
      <c r="J292" s="129"/>
      <c r="K292" s="129"/>
    </row>
    <row r="293" spans="1:11">
      <c r="A293" s="129"/>
      <c r="B293" s="129"/>
      <c r="C293" s="129"/>
      <c r="D293" s="129"/>
      <c r="E293" s="129"/>
      <c r="F293" s="129"/>
      <c r="G293" s="129"/>
      <c r="H293" s="129"/>
      <c r="I293" s="129"/>
      <c r="J293" s="129"/>
      <c r="K293" s="129"/>
    </row>
    <row r="294" spans="1:11">
      <c r="A294" s="129"/>
      <c r="B294" s="129"/>
      <c r="C294" s="129"/>
      <c r="D294" s="129"/>
      <c r="E294" s="129"/>
      <c r="F294" s="129"/>
      <c r="G294" s="129"/>
      <c r="H294" s="129"/>
      <c r="I294" s="129"/>
      <c r="J294" s="129"/>
      <c r="K294" s="129"/>
    </row>
    <row r="295" spans="1:11">
      <c r="A295" s="129"/>
      <c r="B295" s="129"/>
      <c r="C295" s="129"/>
      <c r="D295" s="129"/>
      <c r="E295" s="129"/>
      <c r="F295" s="129"/>
      <c r="G295" s="129"/>
      <c r="H295" s="129"/>
      <c r="I295" s="129"/>
      <c r="J295" s="129"/>
      <c r="K295" s="129"/>
    </row>
    <row r="296" spans="1:11">
      <c r="A296" s="129"/>
      <c r="B296" s="129"/>
      <c r="C296" s="129"/>
      <c r="D296" s="129"/>
      <c r="E296" s="129"/>
      <c r="F296" s="129"/>
      <c r="G296" s="129"/>
      <c r="H296" s="129"/>
      <c r="I296" s="129"/>
      <c r="J296" s="129"/>
      <c r="K296" s="129"/>
    </row>
    <row r="297" spans="1:11">
      <c r="A297" s="129"/>
      <c r="B297" s="129"/>
      <c r="C297" s="129"/>
      <c r="D297" s="129"/>
      <c r="E297" s="129"/>
      <c r="F297" s="129"/>
      <c r="G297" s="129"/>
      <c r="H297" s="129"/>
      <c r="I297" s="129"/>
      <c r="J297" s="129"/>
      <c r="K297" s="129"/>
    </row>
    <row r="298" spans="1:11">
      <c r="A298" s="129"/>
      <c r="B298" s="129"/>
      <c r="C298" s="129"/>
      <c r="D298" s="129"/>
      <c r="E298" s="129"/>
      <c r="F298" s="129"/>
      <c r="G298" s="129"/>
      <c r="H298" s="129"/>
      <c r="I298" s="129"/>
      <c r="J298" s="129"/>
      <c r="K298" s="129"/>
    </row>
    <row r="299" spans="1:11">
      <c r="A299" s="129"/>
      <c r="B299" s="129"/>
      <c r="C299" s="129"/>
      <c r="D299" s="129"/>
      <c r="E299" s="129"/>
      <c r="F299" s="129"/>
      <c r="G299" s="129"/>
      <c r="H299" s="129"/>
      <c r="I299" s="129"/>
      <c r="J299" s="129"/>
      <c r="K299" s="129"/>
    </row>
    <row r="300" spans="1:11">
      <c r="A300" s="129"/>
      <c r="B300" s="129"/>
      <c r="C300" s="129"/>
      <c r="D300" s="129"/>
      <c r="E300" s="129"/>
      <c r="F300" s="129"/>
      <c r="G300" s="129"/>
      <c r="H300" s="129"/>
      <c r="I300" s="129"/>
      <c r="J300" s="129"/>
      <c r="K300" s="129"/>
    </row>
    <row r="301" spans="1:11">
      <c r="A301" s="129"/>
      <c r="B301" s="129"/>
      <c r="C301" s="129"/>
      <c r="D301" s="129"/>
      <c r="E301" s="129"/>
      <c r="F301" s="129"/>
      <c r="G301" s="129"/>
      <c r="H301" s="129"/>
      <c r="I301" s="129"/>
      <c r="J301" s="129"/>
      <c r="K301" s="129"/>
    </row>
    <row r="302" spans="1:11">
      <c r="A302" s="129"/>
      <c r="B302" s="129"/>
      <c r="C302" s="129"/>
      <c r="D302" s="129"/>
      <c r="E302" s="129"/>
      <c r="F302" s="129"/>
      <c r="G302" s="129"/>
      <c r="H302" s="129"/>
      <c r="I302" s="129"/>
      <c r="J302" s="129"/>
      <c r="K302" s="129"/>
    </row>
    <row r="303" spans="1:11">
      <c r="A303" s="129"/>
      <c r="B303" s="129"/>
      <c r="C303" s="129"/>
      <c r="D303" s="129"/>
      <c r="E303" s="129"/>
      <c r="F303" s="129"/>
      <c r="G303" s="129"/>
      <c r="H303" s="129"/>
      <c r="I303" s="129"/>
      <c r="J303" s="129"/>
      <c r="K303" s="129"/>
    </row>
    <row r="304" spans="1:11">
      <c r="A304" s="129"/>
      <c r="B304" s="129"/>
      <c r="C304" s="129"/>
      <c r="D304" s="129"/>
      <c r="E304" s="129"/>
      <c r="F304" s="129"/>
      <c r="G304" s="129"/>
      <c r="H304" s="129"/>
      <c r="I304" s="129"/>
      <c r="J304" s="129"/>
      <c r="K304" s="129"/>
    </row>
  </sheetData>
  <mergeCells count="3">
    <mergeCell ref="A1:K1"/>
    <mergeCell ref="A2:K2"/>
    <mergeCell ref="A3:K3"/>
  </mergeCells>
  <phoneticPr fontId="2"/>
  <dataValidations disablePrompts="1" count="1">
    <dataValidation type="list" allowBlank="1" sqref="K5:K304" xr:uid="{D754548C-4A98-496E-A84C-4A793829C35E}">
      <formula1>"採用,保留,見送り"</formula1>
    </dataValidation>
  </dataValidations>
  <pageMargins left="0.75" right="0.75" top="1" bottom="1" header="0.5" footer="0.5"/>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A1619-0A27-469B-837F-32DC1F73F0AD}">
  <sheetPr codeName="Sheet12"/>
  <dimension ref="A1:M1"/>
  <sheetViews>
    <sheetView workbookViewId="0">
      <selection activeCell="I9" sqref="I9"/>
    </sheetView>
  </sheetViews>
  <sheetFormatPr defaultRowHeight="18"/>
  <cols>
    <col min="1" max="1" width="21.69921875" bestFit="1" customWidth="1"/>
    <col min="4" max="7" width="7" bestFit="1" customWidth="1"/>
    <col min="9" max="9" width="10.59765625" bestFit="1" customWidth="1"/>
    <col min="11" max="11" width="10.59765625" bestFit="1" customWidth="1"/>
    <col min="12" max="12" width="10.5" bestFit="1" customWidth="1"/>
    <col min="13" max="13" width="7" bestFit="1" customWidth="1"/>
  </cols>
  <sheetData>
    <row r="1" spans="1:13">
      <c r="A1" t="s">
        <v>1341</v>
      </c>
      <c r="B1" t="s">
        <v>1066</v>
      </c>
      <c r="C1" t="s">
        <v>1342</v>
      </c>
      <c r="D1" t="s">
        <v>1343</v>
      </c>
      <c r="E1" t="s">
        <v>1344</v>
      </c>
      <c r="F1" t="s">
        <v>1068</v>
      </c>
      <c r="G1" t="s">
        <v>589</v>
      </c>
      <c r="H1" t="s">
        <v>1345</v>
      </c>
      <c r="I1" t="s">
        <v>1346</v>
      </c>
      <c r="J1" t="s">
        <v>1347</v>
      </c>
      <c r="K1" t="s">
        <v>1348</v>
      </c>
      <c r="L1" t="s">
        <v>1349</v>
      </c>
      <c r="M1" t="s">
        <v>1069</v>
      </c>
    </row>
  </sheetData>
  <phoneticPr fontId="2"/>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5723A-CAD2-4C13-A43D-4794B19FEFF4}">
  <sheetPr codeName="Sheet16"/>
  <dimension ref="A1:D104"/>
  <sheetViews>
    <sheetView workbookViewId="0">
      <pane ySplit="4" topLeftCell="A5" activePane="bottomLeft" state="frozen"/>
      <selection pane="bottomLeft" activeCell="A5" sqref="A5"/>
    </sheetView>
  </sheetViews>
  <sheetFormatPr defaultRowHeight="18"/>
  <cols>
    <col min="1" max="2" width="30" style="127" customWidth="1"/>
    <col min="3" max="3" width="12" style="127" customWidth="1"/>
    <col min="4" max="4" width="16" style="127" customWidth="1"/>
  </cols>
  <sheetData>
    <row r="1" spans="1:4" ht="22.2">
      <c r="A1" s="709" t="s">
        <v>1357</v>
      </c>
      <c r="B1" s="710"/>
      <c r="C1" s="710"/>
      <c r="D1" s="710"/>
    </row>
    <row r="2" spans="1:4">
      <c r="A2" s="711" t="s">
        <v>1358</v>
      </c>
      <c r="B2" s="710"/>
      <c r="C2" s="710"/>
      <c r="D2" s="710"/>
    </row>
    <row r="4" spans="1:4">
      <c r="A4" s="128" t="s">
        <v>1115</v>
      </c>
      <c r="B4" s="128" t="s">
        <v>1114</v>
      </c>
      <c r="C4" s="128" t="s">
        <v>1355</v>
      </c>
      <c r="D4" s="128" t="s">
        <v>1356</v>
      </c>
    </row>
    <row r="5" spans="1:4">
      <c r="A5" s="129"/>
      <c r="B5" s="129"/>
      <c r="C5" s="129"/>
      <c r="D5" s="129"/>
    </row>
    <row r="6" spans="1:4">
      <c r="A6" s="129"/>
      <c r="B6" s="129"/>
      <c r="C6" s="129"/>
      <c r="D6" s="129"/>
    </row>
    <row r="7" spans="1:4">
      <c r="A7" s="129"/>
      <c r="B7" s="129"/>
      <c r="C7" s="129"/>
      <c r="D7" s="129"/>
    </row>
    <row r="8" spans="1:4">
      <c r="A8" s="129"/>
      <c r="B8" s="129"/>
      <c r="C8" s="129"/>
      <c r="D8" s="129"/>
    </row>
    <row r="9" spans="1:4">
      <c r="A9" s="129"/>
      <c r="B9" s="129"/>
      <c r="C9" s="129"/>
      <c r="D9" s="129"/>
    </row>
    <row r="10" spans="1:4">
      <c r="A10" s="129"/>
      <c r="B10" s="129"/>
      <c r="C10" s="129"/>
      <c r="D10" s="129"/>
    </row>
    <row r="11" spans="1:4">
      <c r="A11" s="129"/>
      <c r="B11" s="129"/>
      <c r="C11" s="129"/>
      <c r="D11" s="129"/>
    </row>
    <row r="12" spans="1:4">
      <c r="A12" s="129"/>
      <c r="B12" s="129"/>
      <c r="C12" s="129"/>
      <c r="D12" s="129"/>
    </row>
    <row r="13" spans="1:4">
      <c r="A13" s="129"/>
      <c r="B13" s="129"/>
      <c r="C13" s="129"/>
      <c r="D13" s="129"/>
    </row>
    <row r="14" spans="1:4">
      <c r="A14" s="129"/>
      <c r="B14" s="129"/>
      <c r="C14" s="129"/>
      <c r="D14" s="129"/>
    </row>
    <row r="15" spans="1:4">
      <c r="A15" s="129"/>
      <c r="B15" s="129"/>
      <c r="C15" s="129"/>
      <c r="D15" s="129"/>
    </row>
    <row r="16" spans="1:4">
      <c r="A16" s="129"/>
      <c r="B16" s="129"/>
      <c r="C16" s="129"/>
      <c r="D16" s="129"/>
    </row>
    <row r="17" spans="1:4">
      <c r="A17" s="129"/>
      <c r="B17" s="129"/>
      <c r="C17" s="129"/>
      <c r="D17" s="129"/>
    </row>
    <row r="18" spans="1:4">
      <c r="A18" s="129"/>
      <c r="B18" s="129"/>
      <c r="C18" s="129"/>
      <c r="D18" s="129"/>
    </row>
    <row r="19" spans="1:4">
      <c r="A19" s="129"/>
      <c r="B19" s="129"/>
      <c r="C19" s="129"/>
      <c r="D19" s="129"/>
    </row>
    <row r="20" spans="1:4">
      <c r="A20" s="129"/>
      <c r="B20" s="129"/>
      <c r="C20" s="129"/>
      <c r="D20" s="129"/>
    </row>
    <row r="21" spans="1:4">
      <c r="A21" s="129"/>
      <c r="B21" s="129"/>
      <c r="C21" s="129"/>
      <c r="D21" s="129"/>
    </row>
    <row r="22" spans="1:4">
      <c r="A22" s="129"/>
      <c r="B22" s="129"/>
      <c r="C22" s="129"/>
      <c r="D22" s="129"/>
    </row>
    <row r="23" spans="1:4">
      <c r="A23" s="129"/>
      <c r="B23" s="129"/>
      <c r="C23" s="129"/>
      <c r="D23" s="129"/>
    </row>
    <row r="24" spans="1:4">
      <c r="A24" s="129"/>
      <c r="B24" s="129"/>
      <c r="C24" s="129"/>
      <c r="D24" s="129"/>
    </row>
    <row r="25" spans="1:4">
      <c r="A25" s="129"/>
      <c r="B25" s="129"/>
      <c r="C25" s="129"/>
      <c r="D25" s="129"/>
    </row>
    <row r="26" spans="1:4">
      <c r="A26" s="129"/>
      <c r="B26" s="129"/>
      <c r="C26" s="129"/>
      <c r="D26" s="129"/>
    </row>
    <row r="27" spans="1:4">
      <c r="A27" s="129"/>
      <c r="B27" s="129"/>
      <c r="C27" s="129"/>
      <c r="D27" s="129"/>
    </row>
    <row r="28" spans="1:4">
      <c r="A28" s="129"/>
      <c r="B28" s="129"/>
      <c r="C28" s="129"/>
      <c r="D28" s="129"/>
    </row>
    <row r="29" spans="1:4">
      <c r="A29" s="129"/>
      <c r="B29" s="129"/>
      <c r="C29" s="129"/>
      <c r="D29" s="129"/>
    </row>
    <row r="30" spans="1:4">
      <c r="A30" s="129"/>
      <c r="B30" s="129"/>
      <c r="C30" s="129"/>
      <c r="D30" s="129"/>
    </row>
    <row r="31" spans="1:4">
      <c r="A31" s="129"/>
      <c r="B31" s="129"/>
      <c r="C31" s="129"/>
      <c r="D31" s="129"/>
    </row>
    <row r="32" spans="1:4">
      <c r="A32" s="129"/>
      <c r="B32" s="129"/>
      <c r="C32" s="129"/>
      <c r="D32" s="129"/>
    </row>
    <row r="33" spans="1:4">
      <c r="A33" s="129"/>
      <c r="B33" s="129"/>
      <c r="C33" s="129"/>
      <c r="D33" s="129"/>
    </row>
    <row r="34" spans="1:4">
      <c r="A34" s="129"/>
      <c r="B34" s="129"/>
      <c r="C34" s="129"/>
      <c r="D34" s="129"/>
    </row>
    <row r="35" spans="1:4">
      <c r="A35" s="129"/>
      <c r="B35" s="129"/>
      <c r="C35" s="129"/>
      <c r="D35" s="129"/>
    </row>
    <row r="36" spans="1:4">
      <c r="A36" s="129"/>
      <c r="B36" s="129"/>
      <c r="C36" s="129"/>
      <c r="D36" s="129"/>
    </row>
    <row r="37" spans="1:4">
      <c r="A37" s="129"/>
      <c r="B37" s="129"/>
      <c r="C37" s="129"/>
      <c r="D37" s="129"/>
    </row>
    <row r="38" spans="1:4">
      <c r="A38" s="129"/>
      <c r="B38" s="129"/>
      <c r="C38" s="129"/>
      <c r="D38" s="129"/>
    </row>
    <row r="39" spans="1:4">
      <c r="A39" s="129"/>
      <c r="B39" s="129"/>
      <c r="C39" s="129"/>
      <c r="D39" s="129"/>
    </row>
    <row r="40" spans="1:4">
      <c r="A40" s="129"/>
      <c r="B40" s="129"/>
      <c r="C40" s="129"/>
      <c r="D40" s="129"/>
    </row>
    <row r="41" spans="1:4">
      <c r="A41" s="129"/>
      <c r="B41" s="129"/>
      <c r="C41" s="129"/>
      <c r="D41" s="129"/>
    </row>
    <row r="42" spans="1:4">
      <c r="A42" s="129"/>
      <c r="B42" s="129"/>
      <c r="C42" s="129"/>
      <c r="D42" s="129"/>
    </row>
    <row r="43" spans="1:4">
      <c r="A43" s="129"/>
      <c r="B43" s="129"/>
      <c r="C43" s="129"/>
      <c r="D43" s="129"/>
    </row>
    <row r="44" spans="1:4">
      <c r="A44" s="129"/>
      <c r="B44" s="129"/>
      <c r="C44" s="129"/>
      <c r="D44" s="129"/>
    </row>
    <row r="45" spans="1:4">
      <c r="A45" s="129"/>
      <c r="B45" s="129"/>
      <c r="C45" s="129"/>
      <c r="D45" s="129"/>
    </row>
    <row r="46" spans="1:4">
      <c r="A46" s="129"/>
      <c r="B46" s="129"/>
      <c r="C46" s="129"/>
      <c r="D46" s="129"/>
    </row>
    <row r="47" spans="1:4">
      <c r="A47" s="129"/>
      <c r="B47" s="129"/>
      <c r="C47" s="129"/>
      <c r="D47" s="129"/>
    </row>
    <row r="48" spans="1:4">
      <c r="A48" s="129"/>
      <c r="B48" s="129"/>
      <c r="C48" s="129"/>
      <c r="D48" s="129"/>
    </row>
    <row r="49" spans="1:4">
      <c r="A49" s="129"/>
      <c r="B49" s="129"/>
      <c r="C49" s="129"/>
      <c r="D49" s="129"/>
    </row>
    <row r="50" spans="1:4">
      <c r="A50" s="129"/>
      <c r="B50" s="129"/>
      <c r="C50" s="129"/>
      <c r="D50" s="129"/>
    </row>
    <row r="51" spans="1:4">
      <c r="A51" s="129"/>
      <c r="B51" s="129"/>
      <c r="C51" s="129"/>
      <c r="D51" s="129"/>
    </row>
    <row r="52" spans="1:4">
      <c r="A52" s="129"/>
      <c r="B52" s="129"/>
      <c r="C52" s="129"/>
      <c r="D52" s="129"/>
    </row>
    <row r="53" spans="1:4">
      <c r="A53" s="129"/>
      <c r="B53" s="129"/>
      <c r="C53" s="129"/>
      <c r="D53" s="129"/>
    </row>
    <row r="54" spans="1:4">
      <c r="A54" s="129"/>
      <c r="B54" s="129"/>
      <c r="C54" s="129"/>
      <c r="D54" s="129"/>
    </row>
    <row r="55" spans="1:4">
      <c r="A55" s="129"/>
      <c r="B55" s="129"/>
      <c r="C55" s="129"/>
      <c r="D55" s="129"/>
    </row>
    <row r="56" spans="1:4">
      <c r="A56" s="129"/>
      <c r="B56" s="129"/>
      <c r="C56" s="129"/>
      <c r="D56" s="129"/>
    </row>
    <row r="57" spans="1:4">
      <c r="A57" s="129"/>
      <c r="B57" s="129"/>
      <c r="C57" s="129"/>
      <c r="D57" s="129"/>
    </row>
    <row r="58" spans="1:4">
      <c r="A58" s="129"/>
      <c r="B58" s="129"/>
      <c r="C58" s="129"/>
      <c r="D58" s="129"/>
    </row>
    <row r="59" spans="1:4">
      <c r="A59" s="129"/>
      <c r="B59" s="129"/>
      <c r="C59" s="129"/>
      <c r="D59" s="129"/>
    </row>
    <row r="60" spans="1:4">
      <c r="A60" s="129"/>
      <c r="B60" s="129"/>
      <c r="C60" s="129"/>
      <c r="D60" s="129"/>
    </row>
    <row r="61" spans="1:4">
      <c r="A61" s="129"/>
      <c r="B61" s="129"/>
      <c r="C61" s="129"/>
      <c r="D61" s="129"/>
    </row>
    <row r="62" spans="1:4">
      <c r="A62" s="129"/>
      <c r="B62" s="129"/>
      <c r="C62" s="129"/>
      <c r="D62" s="129"/>
    </row>
    <row r="63" spans="1:4">
      <c r="A63" s="129"/>
      <c r="B63" s="129"/>
      <c r="C63" s="129"/>
      <c r="D63" s="129"/>
    </row>
    <row r="64" spans="1:4">
      <c r="A64" s="129"/>
      <c r="B64" s="129"/>
      <c r="C64" s="129"/>
      <c r="D64" s="129"/>
    </row>
    <row r="65" spans="1:4">
      <c r="A65" s="129"/>
      <c r="B65" s="129"/>
      <c r="C65" s="129"/>
      <c r="D65" s="129"/>
    </row>
    <row r="66" spans="1:4">
      <c r="A66" s="129"/>
      <c r="B66" s="129"/>
      <c r="C66" s="129"/>
      <c r="D66" s="129"/>
    </row>
    <row r="67" spans="1:4">
      <c r="A67" s="129"/>
      <c r="B67" s="129"/>
      <c r="C67" s="129"/>
      <c r="D67" s="129"/>
    </row>
    <row r="68" spans="1:4">
      <c r="A68" s="129"/>
      <c r="B68" s="129"/>
      <c r="C68" s="129"/>
      <c r="D68" s="129"/>
    </row>
    <row r="69" spans="1:4">
      <c r="A69" s="129"/>
      <c r="B69" s="129"/>
      <c r="C69" s="129"/>
      <c r="D69" s="129"/>
    </row>
    <row r="70" spans="1:4">
      <c r="A70" s="129"/>
      <c r="B70" s="129"/>
      <c r="C70" s="129"/>
      <c r="D70" s="129"/>
    </row>
    <row r="71" spans="1:4">
      <c r="A71" s="129"/>
      <c r="B71" s="129"/>
      <c r="C71" s="129"/>
      <c r="D71" s="129"/>
    </row>
    <row r="72" spans="1:4">
      <c r="A72" s="129"/>
      <c r="B72" s="129"/>
      <c r="C72" s="129"/>
      <c r="D72" s="129"/>
    </row>
    <row r="73" spans="1:4">
      <c r="A73" s="129"/>
      <c r="B73" s="129"/>
      <c r="C73" s="129"/>
      <c r="D73" s="129"/>
    </row>
    <row r="74" spans="1:4">
      <c r="A74" s="129"/>
      <c r="B74" s="129"/>
      <c r="C74" s="129"/>
      <c r="D74" s="129"/>
    </row>
    <row r="75" spans="1:4">
      <c r="A75" s="129"/>
      <c r="B75" s="129"/>
      <c r="C75" s="129"/>
      <c r="D75" s="129"/>
    </row>
    <row r="76" spans="1:4">
      <c r="A76" s="129"/>
      <c r="B76" s="129"/>
      <c r="C76" s="129"/>
      <c r="D76" s="129"/>
    </row>
    <row r="77" spans="1:4">
      <c r="A77" s="129"/>
      <c r="B77" s="129"/>
      <c r="C77" s="129"/>
      <c r="D77" s="129"/>
    </row>
    <row r="78" spans="1:4">
      <c r="A78" s="129"/>
      <c r="B78" s="129"/>
      <c r="C78" s="129"/>
      <c r="D78" s="129"/>
    </row>
    <row r="79" spans="1:4">
      <c r="A79" s="129"/>
      <c r="B79" s="129"/>
      <c r="C79" s="129"/>
      <c r="D79" s="129"/>
    </row>
    <row r="80" spans="1:4">
      <c r="A80" s="129"/>
      <c r="B80" s="129"/>
      <c r="C80" s="129"/>
      <c r="D80" s="129"/>
    </row>
    <row r="81" spans="1:4">
      <c r="A81" s="129"/>
      <c r="B81" s="129"/>
      <c r="C81" s="129"/>
      <c r="D81" s="129"/>
    </row>
    <row r="82" spans="1:4">
      <c r="A82" s="129"/>
      <c r="B82" s="129"/>
      <c r="C82" s="129"/>
      <c r="D82" s="129"/>
    </row>
    <row r="83" spans="1:4">
      <c r="A83" s="129"/>
      <c r="B83" s="129"/>
      <c r="C83" s="129"/>
      <c r="D83" s="129"/>
    </row>
    <row r="84" spans="1:4">
      <c r="A84" s="129"/>
      <c r="B84" s="129"/>
      <c r="C84" s="129"/>
      <c r="D84" s="129"/>
    </row>
    <row r="85" spans="1:4">
      <c r="A85" s="129"/>
      <c r="B85" s="129"/>
      <c r="C85" s="129"/>
      <c r="D85" s="129"/>
    </row>
    <row r="86" spans="1:4">
      <c r="A86" s="129"/>
      <c r="B86" s="129"/>
      <c r="C86" s="129"/>
      <c r="D86" s="129"/>
    </row>
    <row r="87" spans="1:4">
      <c r="A87" s="129"/>
      <c r="B87" s="129"/>
      <c r="C87" s="129"/>
      <c r="D87" s="129"/>
    </row>
    <row r="88" spans="1:4">
      <c r="A88" s="129"/>
      <c r="B88" s="129"/>
      <c r="C88" s="129"/>
      <c r="D88" s="129"/>
    </row>
    <row r="89" spans="1:4">
      <c r="A89" s="129"/>
      <c r="B89" s="129"/>
      <c r="C89" s="129"/>
      <c r="D89" s="129"/>
    </row>
    <row r="90" spans="1:4">
      <c r="A90" s="129"/>
      <c r="B90" s="129"/>
      <c r="C90" s="129"/>
      <c r="D90" s="129"/>
    </row>
    <row r="91" spans="1:4">
      <c r="A91" s="129"/>
      <c r="B91" s="129"/>
      <c r="C91" s="129"/>
      <c r="D91" s="129"/>
    </row>
    <row r="92" spans="1:4">
      <c r="A92" s="129"/>
      <c r="B92" s="129"/>
      <c r="C92" s="129"/>
      <c r="D92" s="129"/>
    </row>
    <row r="93" spans="1:4">
      <c r="A93" s="129"/>
      <c r="B93" s="129"/>
      <c r="C93" s="129"/>
      <c r="D93" s="129"/>
    </row>
    <row r="94" spans="1:4">
      <c r="A94" s="129"/>
      <c r="B94" s="129"/>
      <c r="C94" s="129"/>
      <c r="D94" s="129"/>
    </row>
    <row r="95" spans="1:4">
      <c r="A95" s="129"/>
      <c r="B95" s="129"/>
      <c r="C95" s="129"/>
      <c r="D95" s="129"/>
    </row>
    <row r="96" spans="1:4">
      <c r="A96" s="129"/>
      <c r="B96" s="129"/>
      <c r="C96" s="129"/>
      <c r="D96" s="129"/>
    </row>
    <row r="97" spans="1:4">
      <c r="A97" s="129"/>
      <c r="B97" s="129"/>
      <c r="C97" s="129"/>
      <c r="D97" s="129"/>
    </row>
    <row r="98" spans="1:4">
      <c r="A98" s="129"/>
      <c r="B98" s="129"/>
      <c r="C98" s="129"/>
      <c r="D98" s="129"/>
    </row>
    <row r="99" spans="1:4">
      <c r="A99" s="129"/>
      <c r="B99" s="129"/>
      <c r="C99" s="129"/>
      <c r="D99" s="129"/>
    </row>
    <row r="100" spans="1:4">
      <c r="A100" s="129"/>
      <c r="B100" s="129"/>
      <c r="C100" s="129"/>
      <c r="D100" s="129"/>
    </row>
    <row r="101" spans="1:4">
      <c r="A101" s="129"/>
      <c r="B101" s="129"/>
      <c r="C101" s="129"/>
      <c r="D101" s="129"/>
    </row>
    <row r="102" spans="1:4">
      <c r="A102" s="129"/>
      <c r="B102" s="129"/>
      <c r="C102" s="129"/>
      <c r="D102" s="129"/>
    </row>
    <row r="103" spans="1:4">
      <c r="A103" s="129"/>
      <c r="B103" s="129"/>
      <c r="C103" s="129"/>
      <c r="D103" s="129"/>
    </row>
    <row r="104" spans="1:4">
      <c r="A104" s="129"/>
      <c r="B104" s="129"/>
      <c r="C104" s="129"/>
      <c r="D104" s="129"/>
    </row>
  </sheetData>
  <mergeCells count="2">
    <mergeCell ref="A1:D1"/>
    <mergeCell ref="A2:D2"/>
  </mergeCells>
  <phoneticPr fontId="2"/>
  <pageMargins left="0.75" right="0.75" top="1" bottom="1" header="0.5" footer="0.5"/>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B9A2824-D78D-4CE5-AF2F-207F98610B3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3</vt:i4>
      </vt:variant>
    </vt:vector>
  </HeadingPairs>
  <TitlesOfParts>
    <vt:vector size="17" baseType="lpstr">
      <vt:lpstr>担当者DB</vt:lpstr>
      <vt:lpstr>製品DB</vt:lpstr>
      <vt:lpstr>担当者別 引取り予定表</vt:lpstr>
      <vt:lpstr>一括入力フォーム</vt:lpstr>
      <vt:lpstr>首都圏(仕入品)</vt:lpstr>
      <vt:lpstr>首都圏(四工品)</vt:lpstr>
      <vt:lpstr>入力ログ</vt:lpstr>
      <vt:lpstr>変換リスト</vt:lpstr>
      <vt:lpstr>プログラム設定</vt:lpstr>
      <vt:lpstr>★変換済みデータ</vt:lpstr>
      <vt:lpstr>未一致一覧</vt:lpstr>
      <vt:lpstr>変換候補一覧</vt:lpstr>
      <vt:lpstr>★班員データ</vt:lpstr>
      <vt:lpstr>採用分登録用</vt:lpstr>
      <vt:lpstr>'首都圏(仕入品)'!Print_Area</vt:lpstr>
      <vt:lpstr>'首都圏(四工品)'!Print_Area</vt:lpstr>
      <vt:lpstr>'担当者別 引取り予定表'!Print_Area</vt:lpstr>
    </vt:vector>
  </TitlesOfParts>
  <Company>IdemitsuKosan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原澤　利充</dc:creator>
  <cp:lastModifiedBy>家治　清悟</cp:lastModifiedBy>
  <cp:lastPrinted>2026-01-23T06:52:10Z</cp:lastPrinted>
  <dcterms:created xsi:type="dcterms:W3CDTF">2025-07-18T06:55:31Z</dcterms:created>
  <dcterms:modified xsi:type="dcterms:W3CDTF">2026-04-28T05:41:25Z</dcterms:modified>
</cp:coreProperties>
</file>