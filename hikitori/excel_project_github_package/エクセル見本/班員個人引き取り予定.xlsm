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K070581\Desktop\聞き取り予定設計案\★元ファイル\"/>
    </mc:Choice>
  </mc:AlternateContent>
  <xr:revisionPtr revIDLastSave="0" documentId="13_ncr:1_{5B25FD14-3419-4116-8120-CDC7253BFBB7}" xr6:coauthVersionLast="47" xr6:coauthVersionMax="47" xr10:uidLastSave="{00000000-0000-0000-0000-000000000000}"/>
  <bookViews>
    <workbookView xWindow="-108" yWindow="-108" windowWidth="23256" windowHeight="12456" xr2:uid="{D4C69143-4DA9-491E-A1F3-B291F2FA6D9F}"/>
  </bookViews>
  <sheets>
    <sheet name="原澤" sheetId="4" r:id="rId1"/>
    <sheet name="設定シート" sheetId="23" state="hidden" r:id="rId2"/>
    <sheet name="商品マスタ" sheetId="7" state="hidden" r:id="rId3"/>
    <sheet name="担当者DB" sheetId="22" state="hidden" r:id="rId4"/>
    <sheet name="取込ログ" sheetId="9" r:id="rId5"/>
  </sheets>
  <functionGroups builtInGroupCount="19"/>
  <externalReferences>
    <externalReference r:id="rId6"/>
    <externalReference r:id="rId7"/>
    <externalReference r:id="rId8"/>
    <externalReference r:id="rId9"/>
  </externalReferences>
  <definedNames>
    <definedName name="JASS8_トーチ">[1]!MethodTable[JASS8_トーチ]</definedName>
    <definedName name="JASS8_常温">[1]!MethodTable[JASS8_常温]</definedName>
    <definedName name="JASS8_塗膜">[1]!MethodTable[JASS8_塗膜]</definedName>
    <definedName name="JASS8_熱アス">[1]!MethodTable[JASS8_熱アス]</definedName>
    <definedName name="_xlnm.Print_Area" localSheetId="0">原澤!$A$1:$J$2</definedName>
    <definedName name="SARDシステム">[1]!MethodTable[SARDシステム]</definedName>
    <definedName name="アスファルト防水">[1]!MethodTable[アスファルト防水]</definedName>
    <definedName name="クロスアーマー防水">[1]!MethodTable[クロスアーマー防水]</definedName>
    <definedName name="サルコート">[1]!MethodTable[サルコート]</definedName>
    <definedName name="サルコート・エコ">[1]!MethodTable[サルコート･エコ]</definedName>
    <definedName name="タフネスAP工法">[1]!MethodTable[タフネスAP工法]</definedName>
    <definedName name="タフネスファイン">[1]!MethodTable[タフネスファイン]</definedName>
    <definedName name="タフネス防水">[2]!MethodTable[タフネス防水]</definedName>
    <definedName name="タフネス防水_旧">[2]!MethodTable[タフネス防水_旧]</definedName>
    <definedName name="ハイネス防水">[1]!MethodTable[ハイネス防水]</definedName>
    <definedName name="ページ1">#REF!</definedName>
    <definedName name="ページ2">#REF!</definedName>
    <definedName name="ページ3">#REF!</definedName>
    <definedName name="ページ4">#REF!</definedName>
    <definedName name="ページ5">#REF!</definedName>
    <definedName name="ページ6">#REF!</definedName>
    <definedName name="ラピネス防水">[1]!MethodTable[ラピネス防水]</definedName>
    <definedName name="ルーフガード工法">[1]!MethodTable[ルーフガード工法]</definedName>
    <definedName name="ワンコート">[1]!MethodTable[ワンコート]</definedName>
    <definedName name="架台防水">[1]!MethodTable[架台防水]</definedName>
    <definedName name="旧タフネス防水">[1]!MethodTable[旧タフネス防水]</definedName>
    <definedName name="国交省仕様_トーチ">[1]!MethodTable[国交省仕様_トーチ]</definedName>
    <definedName name="国交省仕様_常温">[1]!MethodTable[国交省仕様_常温]</definedName>
    <definedName name="国交省仕様_塗膜">[1]!MethodTable[国交省仕様_塗膜]</definedName>
    <definedName name="国交省仕様_熱アス">[1]!MethodTable[国交省仕様_熱アス]</definedName>
    <definedName name="材料_SARDシステム">[1]!MterialTable[SARDシステム]</definedName>
    <definedName name="材料_アスファルト">[1]!MterialTable[アスファルト]</definedName>
    <definedName name="材料_クロスアーマー">[1]!MterialTable[クロスアーマー]</definedName>
    <definedName name="材料_サルコート">[1]!MterialTable[サルコート]</definedName>
    <definedName name="材料_サルコート･エコ">[1]!MterialTable[サルコート･エコ]</definedName>
    <definedName name="材料_その他">[1]!MterialTable[その他]</definedName>
    <definedName name="材料_タフネス">[2]!MterialTable[タフネス]</definedName>
    <definedName name="材料_タフネスAP工法">[1]!MterialTable[タフネスAP工法]</definedName>
    <definedName name="材料_タフネスファイン">[1]!MterialTable[タフネスファイン]</definedName>
    <definedName name="材料_ハイネス">[1]!MterialTable[ハイネス]</definedName>
    <definedName name="材料_ピン・ディスク">[1]!MterialTable[ピン・ディスク]</definedName>
    <definedName name="材料_プライマー">[1]!MterialTable[プライマー]</definedName>
    <definedName name="材料_ラピネス">[1]!MterialTable[ラピネス]</definedName>
    <definedName name="材料_ルーフガード工法">[1]!MterialTable[ルーフガード工法]</definedName>
    <definedName name="材料_ワンコート">[1]!MterialTable[ワンコート]</definedName>
    <definedName name="材料_下地調整材">[1]!MterialTable[下地調整材]</definedName>
    <definedName name="材料_架台">[1]!MterialTable[架台]</definedName>
    <definedName name="材料_旧タフネス防水">[1]!MterialTable[旧タフネス防水]</definedName>
    <definedName name="材料_新タフネス">[3]!MterialTable[新タフネス]</definedName>
    <definedName name="材料_接着剤">[1]!MterialTable[接着剤]</definedName>
    <definedName name="材料_脱気筒・ドレーン">[1]!MterialTable[脱気筒・ドレーン]</definedName>
    <definedName name="材料_断熱材">[1]!MterialTable[断熱材]</definedName>
    <definedName name="材料_保護仕上げ材">[1]!MterialTable[保護仕上げ材]</definedName>
    <definedName name="材料_保護塗料">[1]!MterialTable[保護塗料]</definedName>
    <definedName name="材料種類">[4]!MterialTable[#Headers]</definedName>
    <definedName name="仕様種類">[1]!MethodTable[#Headers]</definedName>
    <definedName name="新タフネス防水">[3]!MethodTable[新タフネス防水]</definedName>
    <definedName name="保護塗料一覧">[1]!TC[商品名]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3" l="1" a="1"/>
  <c r="A1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<sst xmlns="http://schemas.openxmlformats.org/spreadsheetml/2006/main" count="544" uniqueCount="372">
  <si>
    <t>タフベース</t>
  </si>
  <si>
    <t>川崎</t>
    <rPh sb="0" eb="2">
      <t>カワサキ</t>
    </rPh>
    <phoneticPr fontId="1"/>
  </si>
  <si>
    <t>フジウルトラルーフ</t>
  </si>
  <si>
    <t>アスセメント</t>
  </si>
  <si>
    <t>フジマウントコート</t>
  </si>
  <si>
    <t>ハイネスシール（カートリッジ）</t>
  </si>
  <si>
    <t>クロスアーマーベース</t>
  </si>
  <si>
    <t>クロスアーマーヘッド</t>
  </si>
  <si>
    <t>フジスーパールーフ</t>
  </si>
  <si>
    <t>バリヤーシートシャット</t>
  </si>
  <si>
    <t>タフネスファイン</t>
  </si>
  <si>
    <t>アルミペイント</t>
  </si>
  <si>
    <t>ハイネスシートW32</t>
  </si>
  <si>
    <t>ミリアSUルーフ</t>
  </si>
  <si>
    <t>フジクロスK</t>
  </si>
  <si>
    <t>UP103</t>
  </si>
  <si>
    <t>TFプライマー</t>
  </si>
  <si>
    <t>フジRBシート</t>
  </si>
  <si>
    <t>TFクロス</t>
  </si>
  <si>
    <t>アスファルトルーフ</t>
  </si>
  <si>
    <t>アンダーガード</t>
  </si>
  <si>
    <t>クロスアーマーヘッドV</t>
  </si>
  <si>
    <t>フジペースト</t>
  </si>
  <si>
    <t>ハイネスTFシート</t>
  </si>
  <si>
    <t>ネオファルト</t>
  </si>
  <si>
    <t>SKボンド</t>
  </si>
  <si>
    <t>ファインシート</t>
  </si>
  <si>
    <t>ファインボンド</t>
  </si>
  <si>
    <t>クロスアーマーシールド</t>
  </si>
  <si>
    <t>担当者</t>
  </si>
  <si>
    <t>ポリエチレンフィルム</t>
  </si>
  <si>
    <t>枠組み</t>
    <rPh sb="0" eb="2">
      <t>ワクグ</t>
    </rPh>
    <phoneticPr fontId="1"/>
  </si>
  <si>
    <t>製品番号</t>
    <rPh sb="0" eb="4">
      <t>セイヒンバンゴウ</t>
    </rPh>
    <phoneticPr fontId="1"/>
  </si>
  <si>
    <t>製品名</t>
    <rPh sb="0" eb="3">
      <t>セイヒンメイ</t>
    </rPh>
    <phoneticPr fontId="1"/>
  </si>
  <si>
    <t>【アスファルト防水】</t>
    <rPh sb="7" eb="9">
      <t>ボウスイ</t>
    </rPh>
    <phoneticPr fontId="1"/>
  </si>
  <si>
    <t>0027</t>
  </si>
  <si>
    <t>0023</t>
  </si>
  <si>
    <t>0029</t>
  </si>
  <si>
    <t>砂付SGルーフ</t>
    <rPh sb="0" eb="2">
      <t>スナツキ</t>
    </rPh>
    <phoneticPr fontId="1"/>
  </si>
  <si>
    <t>1813</t>
  </si>
  <si>
    <t>砂付ミリアシート</t>
    <rPh sb="0" eb="2">
      <t>スナツキ</t>
    </rPh>
    <phoneticPr fontId="1"/>
  </si>
  <si>
    <t>1386</t>
  </si>
  <si>
    <t>ハイネスシートSW-S（七）</t>
    <rPh sb="12" eb="13">
      <t>シチ</t>
    </rPh>
    <phoneticPr fontId="1"/>
  </si>
  <si>
    <t>0034</t>
  </si>
  <si>
    <t>0033</t>
  </si>
  <si>
    <t>ミリアULルーフ</t>
  </si>
  <si>
    <t>0028</t>
  </si>
  <si>
    <t>0026</t>
  </si>
  <si>
    <t>エクセルルーフ</t>
  </si>
  <si>
    <t>0030</t>
  </si>
  <si>
    <t>タフベント</t>
  </si>
  <si>
    <t>0031</t>
  </si>
  <si>
    <t>砂付ベントルーフ</t>
    <rPh sb="0" eb="2">
      <t>スナツキ</t>
    </rPh>
    <phoneticPr fontId="1"/>
  </si>
  <si>
    <t>0022</t>
  </si>
  <si>
    <t>0025</t>
  </si>
  <si>
    <t>スーパーテープW200</t>
  </si>
  <si>
    <t>0024</t>
  </si>
  <si>
    <t>スーパーテープW330</t>
  </si>
  <si>
    <t>【新タフネス】</t>
    <rPh sb="1" eb="2">
      <t>シン</t>
    </rPh>
    <phoneticPr fontId="1"/>
  </si>
  <si>
    <t>1665</t>
  </si>
  <si>
    <t>フジシールⅡ号A 25㎏（ｔ）</t>
    <rPh sb="5" eb="7">
      <t>ニゴウ</t>
    </rPh>
    <phoneticPr fontId="1"/>
  </si>
  <si>
    <t>1752</t>
  </si>
  <si>
    <t>フジシールⅡ号A 12.5㎏（ｔ）</t>
    <rPh sb="5" eb="7">
      <t>ニゴウ</t>
    </rPh>
    <phoneticPr fontId="1"/>
  </si>
  <si>
    <t>1666</t>
  </si>
  <si>
    <t>フジシールⅢ号　25㎏（ｔ）</t>
    <rPh sb="6" eb="7">
      <t>ゴウ</t>
    </rPh>
    <phoneticPr fontId="1"/>
  </si>
  <si>
    <t>1753</t>
  </si>
  <si>
    <t>フジシールⅢ号　12.5㎏（ｔ）</t>
    <rPh sb="6" eb="7">
      <t>ゴウ</t>
    </rPh>
    <phoneticPr fontId="1"/>
  </si>
  <si>
    <t>2049</t>
  </si>
  <si>
    <t>フジシールⅢ号　10㎏（ｔ）</t>
    <rPh sb="6" eb="7">
      <t>ゴウ</t>
    </rPh>
    <phoneticPr fontId="1"/>
  </si>
  <si>
    <t>2091</t>
  </si>
  <si>
    <t>エラストコートAS 25kg（ｔ）</t>
  </si>
  <si>
    <t>2063</t>
  </si>
  <si>
    <t>SSS300HB（A）</t>
  </si>
  <si>
    <t>2062</t>
  </si>
  <si>
    <t>SSS350HB（A）</t>
  </si>
  <si>
    <t>2064</t>
  </si>
  <si>
    <t>NEWフォルテ（A）HB</t>
  </si>
  <si>
    <t>2065</t>
  </si>
  <si>
    <t>ＮＥＷガード（Ａ）</t>
  </si>
  <si>
    <t>2107</t>
  </si>
  <si>
    <t>レクシード250（Ａ）</t>
  </si>
  <si>
    <t>2126</t>
  </si>
  <si>
    <t>タフネスNEXTルーフ</t>
  </si>
  <si>
    <t>0020</t>
  </si>
  <si>
    <t>プロテクトシート</t>
  </si>
  <si>
    <t>0019</t>
  </si>
  <si>
    <t>アンチルーツガードS</t>
  </si>
  <si>
    <t>0036</t>
  </si>
  <si>
    <t>フジスーパーパーク</t>
  </si>
  <si>
    <t>1428</t>
  </si>
  <si>
    <t>ダンガード（七王）</t>
    <rPh sb="6" eb="8">
      <t>ナナオウ</t>
    </rPh>
    <phoneticPr fontId="1"/>
  </si>
  <si>
    <t>0038</t>
  </si>
  <si>
    <t>ダンガード（UR用）10ｍ（四工）</t>
    <rPh sb="14" eb="16">
      <t>ヨンコウ</t>
    </rPh>
    <phoneticPr fontId="1"/>
  </si>
  <si>
    <t>2059</t>
  </si>
  <si>
    <t>ﾊﾞﾘﾔｰｼｰﾄｼｬｯﾄ(ﾀﾌﾈｽ)(ｱｽﾌｧﾙﾄﾙｰﾌ)</t>
  </si>
  <si>
    <t>1664</t>
  </si>
  <si>
    <t>ガードテープA （W200）</t>
  </si>
  <si>
    <t>1663</t>
  </si>
  <si>
    <t>ガードテープA （W330）</t>
  </si>
  <si>
    <t>0208</t>
  </si>
  <si>
    <t>0209</t>
  </si>
  <si>
    <t>絶縁クロス</t>
    <rPh sb="0" eb="2">
      <t>ゼツエン</t>
    </rPh>
    <phoneticPr fontId="1"/>
  </si>
  <si>
    <t>【ラピネス】</t>
  </si>
  <si>
    <t>0048</t>
  </si>
  <si>
    <t>ラピネスGR400</t>
  </si>
  <si>
    <t>0049</t>
  </si>
  <si>
    <t>ラピネスGR400 グリーン</t>
  </si>
  <si>
    <t>0050</t>
  </si>
  <si>
    <t>ラピネスSP350</t>
  </si>
  <si>
    <t>0054</t>
  </si>
  <si>
    <t>ラピネスPW300</t>
  </si>
  <si>
    <t>0051</t>
  </si>
  <si>
    <t>ラピネスPW250</t>
  </si>
  <si>
    <t>2061</t>
  </si>
  <si>
    <t>ハイネスシートSW-T（夏用）</t>
    <rPh sb="12" eb="13">
      <t>ナツ</t>
    </rPh>
    <rPh sb="13" eb="14">
      <t>ヨウ</t>
    </rPh>
    <phoneticPr fontId="1"/>
  </si>
  <si>
    <t>2060</t>
  </si>
  <si>
    <t>ハイネスシートSW-T（通年用）</t>
    <rPh sb="12" eb="15">
      <t>ツウネンヨウ</t>
    </rPh>
    <phoneticPr fontId="1"/>
  </si>
  <si>
    <t>0058</t>
  </si>
  <si>
    <t>エアーソールフラム</t>
  </si>
  <si>
    <t>0053</t>
  </si>
  <si>
    <t>ラピネステープW200</t>
  </si>
  <si>
    <t>0052</t>
  </si>
  <si>
    <t>ラピネステープW330</t>
  </si>
  <si>
    <t>0055</t>
  </si>
  <si>
    <t>ラピネスGR400M</t>
  </si>
  <si>
    <t>0056</t>
  </si>
  <si>
    <t>ラピネスPW250M</t>
  </si>
  <si>
    <t>1751</t>
  </si>
  <si>
    <t>ラピネスSP250M</t>
  </si>
  <si>
    <t>【ハイネス】</t>
  </si>
  <si>
    <t>2044</t>
  </si>
  <si>
    <t>ハイネスシートS（四工）(夏)</t>
    <rPh sb="9" eb="10">
      <t>ヨン</t>
    </rPh>
    <rPh sb="10" eb="11">
      <t>コウ</t>
    </rPh>
    <phoneticPr fontId="1"/>
  </si>
  <si>
    <t>2138</t>
  </si>
  <si>
    <t>ハイネスシートS（四工）(春秋冬)</t>
    <rPh sb="9" eb="10">
      <t>ヨン</t>
    </rPh>
    <rPh sb="10" eb="11">
      <t>コウ</t>
    </rPh>
    <phoneticPr fontId="1"/>
  </si>
  <si>
    <t>0064</t>
  </si>
  <si>
    <t>ハイネスシートSS（東和）</t>
    <rPh sb="10" eb="12">
      <t>トウワ</t>
    </rPh>
    <phoneticPr fontId="1"/>
  </si>
  <si>
    <t>0066</t>
  </si>
  <si>
    <t>ハイネスシートSF（東和）</t>
    <rPh sb="10" eb="12">
      <t>トウワ</t>
    </rPh>
    <phoneticPr fontId="1"/>
  </si>
  <si>
    <t>0069</t>
  </si>
  <si>
    <t>ハイネスシートSFⅡ（東和）</t>
    <rPh sb="11" eb="13">
      <t>トウワ</t>
    </rPh>
    <phoneticPr fontId="1"/>
  </si>
  <si>
    <t>1474</t>
  </si>
  <si>
    <t>ハイネスシートNC</t>
  </si>
  <si>
    <t>1442</t>
  </si>
  <si>
    <t>1443</t>
  </si>
  <si>
    <t>ハイネスTFテープ　W200</t>
  </si>
  <si>
    <t>0067</t>
  </si>
  <si>
    <t>ハイネステープW＝200（東和）</t>
    <rPh sb="13" eb="15">
      <t>トウワ</t>
    </rPh>
    <phoneticPr fontId="1"/>
  </si>
  <si>
    <t>0070</t>
  </si>
  <si>
    <t>MLテープ　12ｍ</t>
  </si>
  <si>
    <t>1501</t>
  </si>
  <si>
    <t>SKシール（カートリッジ）</t>
  </si>
  <si>
    <t>0243</t>
  </si>
  <si>
    <t>【飛火仕様】</t>
    <rPh sb="1" eb="2">
      <t>ト</t>
    </rPh>
    <rPh sb="2" eb="3">
      <t>ヒ</t>
    </rPh>
    <rPh sb="3" eb="5">
      <t>シヨウ</t>
    </rPh>
    <phoneticPr fontId="1"/>
  </si>
  <si>
    <t>0035</t>
  </si>
  <si>
    <t>1842</t>
  </si>
  <si>
    <t>0037</t>
  </si>
  <si>
    <t>ハイネスシートSW-S</t>
  </si>
  <si>
    <t>0057</t>
  </si>
  <si>
    <t>ハイネスシートSW-T</t>
  </si>
  <si>
    <t>【網状】</t>
    <rPh sb="1" eb="3">
      <t>モウジョウ</t>
    </rPh>
    <phoneticPr fontId="1"/>
  </si>
  <si>
    <t>0235</t>
  </si>
  <si>
    <t>網状ルーフW1000</t>
    <rPh sb="0" eb="2">
      <t>モウジョウ</t>
    </rPh>
    <phoneticPr fontId="1"/>
  </si>
  <si>
    <t>0240</t>
  </si>
  <si>
    <t>網状ルーフW100</t>
    <rPh sb="0" eb="2">
      <t>モウジョウ</t>
    </rPh>
    <phoneticPr fontId="1"/>
  </si>
  <si>
    <t>0238</t>
  </si>
  <si>
    <t>網状ルーフW150</t>
    <rPh sb="0" eb="2">
      <t>モウジョウ</t>
    </rPh>
    <phoneticPr fontId="1"/>
  </si>
  <si>
    <t>0236</t>
  </si>
  <si>
    <t>網状ルーフW300</t>
    <rPh sb="0" eb="2">
      <t>モウジョウ</t>
    </rPh>
    <phoneticPr fontId="1"/>
  </si>
  <si>
    <t>【クロスアーマー】</t>
  </si>
  <si>
    <t>0039</t>
  </si>
  <si>
    <t>0040</t>
  </si>
  <si>
    <t>クロスアーマーベースＶ</t>
  </si>
  <si>
    <t>0043</t>
  </si>
  <si>
    <t>0044</t>
  </si>
  <si>
    <t>0045</t>
  </si>
  <si>
    <t>1440</t>
  </si>
  <si>
    <t>クロスアーマーフェイス</t>
  </si>
  <si>
    <t>1441</t>
  </si>
  <si>
    <t>0042</t>
  </si>
  <si>
    <t>クロスアーマーテープW＝200</t>
  </si>
  <si>
    <t>0041</t>
  </si>
  <si>
    <t>クロスアーマーテープW＝300</t>
  </si>
  <si>
    <t>【タフネスファイン】</t>
  </si>
  <si>
    <t>1556</t>
  </si>
  <si>
    <t>0077</t>
  </si>
  <si>
    <t>0078</t>
  </si>
  <si>
    <t>TFプライマー（水性）</t>
    <rPh sb="8" eb="10">
      <t>スイセイ</t>
    </rPh>
    <phoneticPr fontId="1"/>
  </si>
  <si>
    <t>0079</t>
  </si>
  <si>
    <t>0080</t>
  </si>
  <si>
    <t>TFクロスW＝100</t>
  </si>
  <si>
    <t>2181・2182</t>
  </si>
  <si>
    <t>1614</t>
  </si>
  <si>
    <t>2084</t>
  </si>
  <si>
    <t>ファイン調整剤</t>
    <rPh sb="4" eb="6">
      <t>チョウセイ</t>
    </rPh>
    <rPh sb="6" eb="7">
      <t>ザイ</t>
    </rPh>
    <phoneticPr fontId="1"/>
  </si>
  <si>
    <t>0138</t>
  </si>
  <si>
    <t>ダレ止め剤</t>
    <rPh sb="2" eb="3">
      <t>ド</t>
    </rPh>
    <rPh sb="4" eb="5">
      <t>ザイ</t>
    </rPh>
    <phoneticPr fontId="1"/>
  </si>
  <si>
    <t>0139</t>
  </si>
  <si>
    <t>硬化促進剤</t>
    <rPh sb="0" eb="5">
      <t>コウカソクシンザイ</t>
    </rPh>
    <phoneticPr fontId="1"/>
  </si>
  <si>
    <t>2176</t>
  </si>
  <si>
    <t>TFエマルション</t>
  </si>
  <si>
    <t>2183・2184</t>
  </si>
  <si>
    <t>タフネスファインEX</t>
  </si>
  <si>
    <t>2134</t>
  </si>
  <si>
    <t>EXルーフ</t>
  </si>
  <si>
    <t>2165</t>
  </si>
  <si>
    <t>EXルーフ W100</t>
  </si>
  <si>
    <t>0085～</t>
  </si>
  <si>
    <t>TFカラー</t>
  </si>
  <si>
    <t>1312</t>
  </si>
  <si>
    <t>TFカラー特注色</t>
    <rPh sb="5" eb="7">
      <t>トクチュウ</t>
    </rPh>
    <rPh sb="7" eb="8">
      <t>イロ</t>
    </rPh>
    <phoneticPr fontId="1"/>
  </si>
  <si>
    <t>0087～</t>
  </si>
  <si>
    <t>TFコート</t>
  </si>
  <si>
    <t>0091～</t>
  </si>
  <si>
    <t>TFクール</t>
  </si>
  <si>
    <t>1529</t>
  </si>
  <si>
    <t>【FLコート】</t>
  </si>
  <si>
    <t>FLコート　タイプⅢ（缶）</t>
    <rPh sb="11" eb="12">
      <t>カン</t>
    </rPh>
    <phoneticPr fontId="1"/>
  </si>
  <si>
    <t>FLコート　タイプⅢ（ドラム）</t>
  </si>
  <si>
    <t>Uコートバインダー（ドラム）</t>
  </si>
  <si>
    <t>Uコートバインダー（缶）</t>
    <rPh sb="10" eb="11">
      <t>カン</t>
    </rPh>
    <phoneticPr fontId="1"/>
  </si>
  <si>
    <t>【特殊品】</t>
    <rPh sb="1" eb="3">
      <t>トクシュ</t>
    </rPh>
    <rPh sb="3" eb="4">
      <t>ヒン</t>
    </rPh>
    <phoneticPr fontId="1"/>
  </si>
  <si>
    <t>1593</t>
  </si>
  <si>
    <t>タフロン200MSL</t>
  </si>
  <si>
    <t>0573</t>
  </si>
  <si>
    <t>タフサンド</t>
  </si>
  <si>
    <t/>
  </si>
  <si>
    <t>トスシール</t>
  </si>
  <si>
    <t>固定ピン</t>
    <rPh sb="0" eb="2">
      <t>コテイ</t>
    </rPh>
    <phoneticPr fontId="1"/>
  </si>
  <si>
    <t>固定ディスク</t>
    <rPh sb="0" eb="2">
      <t>コテイ</t>
    </rPh>
    <phoneticPr fontId="1"/>
  </si>
  <si>
    <t>0649</t>
  </si>
  <si>
    <t>目地テープ（箱）</t>
    <rPh sb="0" eb="2">
      <t>メジ</t>
    </rPh>
    <rPh sb="6" eb="7">
      <t>ハコ</t>
    </rPh>
    <phoneticPr fontId="1"/>
  </si>
  <si>
    <t>特殊ｺｰﾅｰｷｬﾝﾄ</t>
    <rPh sb="0" eb="2">
      <t>トクシュ</t>
    </rPh>
    <phoneticPr fontId="1"/>
  </si>
  <si>
    <t>リカバーボード</t>
  </si>
  <si>
    <t>2130</t>
  </si>
  <si>
    <t>レストアボード</t>
  </si>
  <si>
    <t>【仕入品】</t>
    <rPh sb="1" eb="3">
      <t>シイレ</t>
    </rPh>
    <rPh sb="3" eb="4">
      <t>ヒン</t>
    </rPh>
    <phoneticPr fontId="1"/>
  </si>
  <si>
    <t>0021</t>
  </si>
  <si>
    <t>フジクリーン（ｔ）</t>
  </si>
  <si>
    <t>0430</t>
  </si>
  <si>
    <t>アスコンパウンド3種</t>
    <rPh sb="9" eb="10">
      <t>シュ</t>
    </rPh>
    <phoneticPr fontId="1"/>
  </si>
  <si>
    <t>2190</t>
  </si>
  <si>
    <t>エバーゾールSE</t>
  </si>
  <si>
    <t>0157</t>
  </si>
  <si>
    <t>エバーゾール100</t>
  </si>
  <si>
    <t>0158</t>
  </si>
  <si>
    <t>エバーゾール100P</t>
  </si>
  <si>
    <t>0307</t>
  </si>
  <si>
    <t>エバーゾールS</t>
  </si>
  <si>
    <t>0308</t>
  </si>
  <si>
    <t>エバーゾールS-3</t>
  </si>
  <si>
    <t>1864</t>
  </si>
  <si>
    <t>0212</t>
  </si>
  <si>
    <t>1502</t>
  </si>
  <si>
    <t>1413</t>
  </si>
  <si>
    <t>0163</t>
  </si>
  <si>
    <t>1415</t>
  </si>
  <si>
    <t>【サルコート】</t>
  </si>
  <si>
    <t>0102</t>
  </si>
  <si>
    <t>UP102</t>
  </si>
  <si>
    <t>1789</t>
  </si>
  <si>
    <t>0104</t>
  </si>
  <si>
    <t>UP602</t>
  </si>
  <si>
    <t>0098</t>
  </si>
  <si>
    <t>サルコートS</t>
  </si>
  <si>
    <t>0099</t>
  </si>
  <si>
    <t>サルコートN</t>
  </si>
  <si>
    <t>0100</t>
  </si>
  <si>
    <t>サルコート・エコ EC-S</t>
  </si>
  <si>
    <t>0101</t>
  </si>
  <si>
    <t>サルコート・エコ EC-N</t>
  </si>
  <si>
    <t>0125</t>
  </si>
  <si>
    <t>フジトップカラー　グレー</t>
  </si>
  <si>
    <t>0127</t>
  </si>
  <si>
    <t>フジトップカラー　特注色</t>
    <rPh sb="9" eb="11">
      <t>トクチュウ</t>
    </rPh>
    <rPh sb="11" eb="12">
      <t>イロ</t>
    </rPh>
    <phoneticPr fontId="1"/>
  </si>
  <si>
    <t>0115</t>
  </si>
  <si>
    <t>0116</t>
  </si>
  <si>
    <t>フジRBテープ</t>
  </si>
  <si>
    <t>0121</t>
  </si>
  <si>
    <t>0122</t>
  </si>
  <si>
    <t>フジクロスK W100</t>
  </si>
  <si>
    <t>フジクロスV</t>
  </si>
  <si>
    <t>0124</t>
  </si>
  <si>
    <t>フジクロスGL</t>
  </si>
  <si>
    <t>【彩色カバータイト】在庫注意</t>
    <rPh sb="1" eb="3">
      <t>サイショク</t>
    </rPh>
    <rPh sb="10" eb="12">
      <t>ザイコ</t>
    </rPh>
    <rPh sb="12" eb="14">
      <t>チュウイ</t>
    </rPh>
    <phoneticPr fontId="1"/>
  </si>
  <si>
    <t>ナチュラル</t>
  </si>
  <si>
    <t>グレー</t>
  </si>
  <si>
    <t>グリーン</t>
  </si>
  <si>
    <t>ブラウン</t>
  </si>
  <si>
    <t>【旧タフネス】</t>
    <rPh sb="1" eb="2">
      <t>キュウ</t>
    </rPh>
    <phoneticPr fontId="1"/>
  </si>
  <si>
    <t>0003</t>
  </si>
  <si>
    <t>SSS35</t>
  </si>
  <si>
    <t>0005</t>
  </si>
  <si>
    <t>SSS30</t>
  </si>
  <si>
    <t>0012</t>
  </si>
  <si>
    <t>ＮＥＷガード</t>
  </si>
  <si>
    <t>0011</t>
  </si>
  <si>
    <t>NEWフォルテ</t>
  </si>
  <si>
    <t>0018</t>
  </si>
  <si>
    <t>レクシード25</t>
  </si>
  <si>
    <t>ベース25</t>
  </si>
  <si>
    <t>【土木関係】</t>
    <rPh sb="1" eb="3">
      <t>ドボク</t>
    </rPh>
    <rPh sb="3" eb="5">
      <t>カンケイ</t>
    </rPh>
    <phoneticPr fontId="1"/>
  </si>
  <si>
    <t>0305</t>
  </si>
  <si>
    <t>フジスーパーシート</t>
  </si>
  <si>
    <t>0304</t>
  </si>
  <si>
    <t>フジロードコート 25kg（ｔ）</t>
  </si>
  <si>
    <t>2136</t>
  </si>
  <si>
    <t>フジロードコート 10kg（ｔ）</t>
  </si>
  <si>
    <t>1699</t>
  </si>
  <si>
    <t>フジロードコートG 25kg（ｔ）</t>
  </si>
  <si>
    <t>0306</t>
  </si>
  <si>
    <t>スーパーシートクリーン</t>
  </si>
  <si>
    <t>スーパーシートクリーン（カット品）</t>
    <rPh sb="15" eb="16">
      <t>ヒン</t>
    </rPh>
    <phoneticPr fontId="1"/>
  </si>
  <si>
    <t>1668</t>
  </si>
  <si>
    <t>フジクラックシート</t>
  </si>
  <si>
    <t>1669</t>
  </si>
  <si>
    <t>フジクラックシートW500　2入り</t>
    <rPh sb="15" eb="16">
      <t>イ</t>
    </rPh>
    <phoneticPr fontId="1"/>
  </si>
  <si>
    <t>1670</t>
  </si>
  <si>
    <t>フジクラックシートW330　3入り</t>
    <rPh sb="15" eb="16">
      <t>イ</t>
    </rPh>
    <phoneticPr fontId="1"/>
  </si>
  <si>
    <t>0485</t>
  </si>
  <si>
    <r>
      <t>タフシャット</t>
    </r>
    <r>
      <rPr>
        <sz val="11"/>
        <color theme="1"/>
        <rFont val="游ゴシック"/>
        <family val="2"/>
        <charset val="128"/>
      </rPr>
      <t>Ⅰ型</t>
    </r>
    <rPh sb="7" eb="8">
      <t>カタ</t>
    </rPh>
    <phoneticPr fontId="1"/>
  </si>
  <si>
    <t>0336</t>
  </si>
  <si>
    <t>ハイネスゾール土木用</t>
    <rPh sb="7" eb="10">
      <t>ドボクヨウ</t>
    </rPh>
    <phoneticPr fontId="1"/>
  </si>
  <si>
    <t>0337</t>
  </si>
  <si>
    <t>ハイネスゾールAE</t>
  </si>
  <si>
    <t>1506</t>
  </si>
  <si>
    <t>ハイネスシートSS32（L）</t>
  </si>
  <si>
    <t>0334</t>
  </si>
  <si>
    <t>0335</t>
  </si>
  <si>
    <t>ハイネスシートW32　W＝500</t>
  </si>
  <si>
    <t>0309</t>
  </si>
  <si>
    <t>ハイネスシートR-20</t>
  </si>
  <si>
    <t>2131</t>
  </si>
  <si>
    <t>防水プロテクター　25ｍ/本</t>
    <rPh sb="0" eb="2">
      <t>ボウスイ</t>
    </rPh>
    <rPh sb="13" eb="14">
      <t>ホン</t>
    </rPh>
    <phoneticPr fontId="1"/>
  </si>
  <si>
    <t>1382</t>
  </si>
  <si>
    <t>アルミラーシート　0.7㎜　</t>
  </si>
  <si>
    <t>1383</t>
  </si>
  <si>
    <t>アルミラーシート　1.0㎜</t>
  </si>
  <si>
    <t>1335</t>
  </si>
  <si>
    <t>ペーブドレーンΦ10（巻）</t>
    <rPh sb="11" eb="12">
      <t>マキ</t>
    </rPh>
    <phoneticPr fontId="1"/>
  </si>
  <si>
    <t>1336</t>
  </si>
  <si>
    <t>ペーブドレーンΦ15（巻）</t>
    <rPh sb="11" eb="12">
      <t>マキ</t>
    </rPh>
    <phoneticPr fontId="1"/>
  </si>
  <si>
    <t>1337</t>
  </si>
  <si>
    <t>ペーブドレーンΦ20（巻）</t>
    <rPh sb="11" eb="12">
      <t>マキ</t>
    </rPh>
    <phoneticPr fontId="1"/>
  </si>
  <si>
    <t>1338</t>
  </si>
  <si>
    <t>ペーブドレーンΦ30（巻）</t>
    <rPh sb="11" eb="12">
      <t>マキ</t>
    </rPh>
    <phoneticPr fontId="1"/>
  </si>
  <si>
    <t>1339～1342</t>
  </si>
  <si>
    <t>ペーブドレーンF（Φ　　）</t>
  </si>
  <si>
    <t>【その他】手書き</t>
    <rPh sb="3" eb="4">
      <t>タ</t>
    </rPh>
    <rPh sb="5" eb="7">
      <t>テガ</t>
    </rPh>
    <phoneticPr fontId="1"/>
  </si>
  <si>
    <t>ファイルパス</t>
  </si>
  <si>
    <t>担当者</t>
    <rPh sb="0" eb="2">
      <t>タントウ</t>
    </rPh>
    <rPh sb="2" eb="3">
      <t>シャ</t>
    </rPh>
    <phoneticPr fontId="1"/>
  </si>
  <si>
    <t>物件名</t>
    <phoneticPr fontId="1"/>
  </si>
  <si>
    <t>取込件数</t>
    <phoneticPr fontId="1"/>
  </si>
  <si>
    <t>取込日時</t>
    <phoneticPr fontId="1"/>
  </si>
  <si>
    <t>得意先</t>
  </si>
  <si>
    <t>現場</t>
  </si>
  <si>
    <t>材料</t>
  </si>
  <si>
    <t>数量</t>
  </si>
  <si>
    <t>単位</t>
  </si>
  <si>
    <t>納品日</t>
  </si>
  <si>
    <t>注文状況</t>
  </si>
  <si>
    <t>注文日</t>
  </si>
  <si>
    <t>現場状況</t>
  </si>
  <si>
    <t>エリア</t>
    <phoneticPr fontId="1"/>
  </si>
  <si>
    <t>担当者</t>
    <rPh sb="0" eb="3">
      <t>タントウシャ</t>
    </rPh>
    <phoneticPr fontId="1"/>
  </si>
  <si>
    <t>首都圏</t>
    <rPh sb="0" eb="3">
      <t>シュトケン</t>
    </rPh>
    <phoneticPr fontId="1"/>
  </si>
  <si>
    <t>原澤</t>
    <rPh sb="0" eb="2">
      <t>ハラサワ</t>
    </rPh>
    <phoneticPr fontId="1"/>
  </si>
  <si>
    <t>亀井</t>
    <rPh sb="0" eb="2">
      <t>カメイ</t>
    </rPh>
    <phoneticPr fontId="1"/>
  </si>
  <si>
    <t>平木</t>
    <rPh sb="0" eb="2">
      <t>ヒラキ</t>
    </rPh>
    <phoneticPr fontId="1"/>
  </si>
  <si>
    <t>池本</t>
    <rPh sb="0" eb="2">
      <t>イケモト</t>
    </rPh>
    <phoneticPr fontId="1"/>
  </si>
  <si>
    <t>チェック</t>
    <phoneticPr fontId="1"/>
  </si>
  <si>
    <t>日時</t>
    <rPh sb="0" eb="2">
      <t>ニチジ</t>
    </rPh>
    <phoneticPr fontId="1"/>
  </si>
  <si>
    <t>UR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</si>
</sst>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2"/>
      <name val="HG丸ｺﾞｼｯｸM-PRO"/>
      <family val="3"/>
      <charset val="128"/>
    </font>
    <font>
      <b/>
      <sz val="11"/>
      <color theme="1"/>
      <name val="メイリオ"/>
      <family val="3"/>
      <charset val="128"/>
    </font>
    <font>
      <sz val="11"/>
      <color theme="1"/>
      <name val="游ゴシック"/>
      <family val="2"/>
      <charset val="128"/>
    </font>
    <font>
      <sz val="11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6" fillId="0" borderId="0"/>
    <xf numFmtId="38" fontId="6" fillId="0" borderId="0" applyFont="0" applyFill="0" applyBorder="0" applyAlignment="0" applyProtection="0"/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7" fillId="0" borderId="0" xfId="0" applyFont="1">
      <alignment vertical="center"/>
    </xf>
    <xf numFmtId="176" fontId="0" fillId="0" borderId="0" xfId="0" applyNumberFormat="1">
      <alignment vertical="center"/>
    </xf>
    <xf numFmtId="49" fontId="2" fillId="0" borderId="0" xfId="0" applyNumberFormat="1" applyFont="1">
      <alignment vertical="center"/>
    </xf>
    <xf numFmtId="0" fontId="8" fillId="2" borderId="10" xfId="0" applyFont="1" applyFill="1" applyBorder="1">
      <alignment vertical="center"/>
    </xf>
    <xf numFmtId="0" fontId="8" fillId="2" borderId="9" xfId="0" applyFont="1" applyFill="1" applyBorder="1">
      <alignment vertical="center"/>
    </xf>
    <xf numFmtId="176" fontId="8" fillId="2" borderId="11" xfId="0" applyNumberFormat="1" applyFont="1" applyFill="1" applyBorder="1">
      <alignment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7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</cellXfs>
  <cellStyles count="4">
    <cellStyle name="桁区切り 3" xfId="3" xr:uid="{5102C507-4964-4C41-94FC-BE041C94C78B}"/>
    <cellStyle name="標準" xfId="0" builtinId="0"/>
    <cellStyle name="標準 2" xfId="1" xr:uid="{E8564B17-5550-48F2-BCB7-130219EEA7B6}"/>
    <cellStyle name="標準 4" xfId="2" xr:uid="{BAA440F6-4D30-4EE6-8CB2-02F214F28E5E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30" formatCode="@"/>
      <border diagonalUp="0" diagonalDown="0">
        <left style="thin">
          <color rgb="FF000000"/>
        </left>
        <right style="thin">
          <color rgb="FF000000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indexed="64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60960</xdr:colOff>
          <xdr:row>0</xdr:row>
          <xdr:rowOff>99060</xdr:rowOff>
        </xdr:from>
        <xdr:to>
          <xdr:col>2</xdr:col>
          <xdr:colOff>1242060</xdr:colOff>
          <xdr:row>0</xdr:row>
          <xdr:rowOff>495300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見積取り込み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2590800</xdr:colOff>
          <xdr:row>0</xdr:row>
          <xdr:rowOff>91440</xdr:rowOff>
        </xdr:from>
        <xdr:to>
          <xdr:col>3</xdr:col>
          <xdr:colOff>45720</xdr:colOff>
          <xdr:row>0</xdr:row>
          <xdr:rowOff>487680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取り込みの削除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99060</xdr:colOff>
          <xdr:row>0</xdr:row>
          <xdr:rowOff>91440</xdr:rowOff>
        </xdr:from>
        <xdr:to>
          <xdr:col>3</xdr:col>
          <xdr:colOff>1211580</xdr:colOff>
          <xdr:row>0</xdr:row>
          <xdr:rowOff>487680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フォルダ作成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60960</xdr:colOff>
          <xdr:row>0</xdr:row>
          <xdr:rowOff>99060</xdr:rowOff>
        </xdr:from>
        <xdr:to>
          <xdr:col>2</xdr:col>
          <xdr:colOff>1242060</xdr:colOff>
          <xdr:row>0</xdr:row>
          <xdr:rowOff>495300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見積取り込み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1325880</xdr:colOff>
          <xdr:row>0</xdr:row>
          <xdr:rowOff>99060</xdr:rowOff>
        </xdr:from>
        <xdr:to>
          <xdr:col>2</xdr:col>
          <xdr:colOff>2506980</xdr:colOff>
          <xdr:row>0</xdr:row>
          <xdr:rowOff>495300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UR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取り込み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K070581\Desktop\&#35211;&#31309;&#26360;&#33258;&#21205;&#20316;&#25104;&#12484;&#12540;&#12523;(v6.20).xlsm" TargetMode="External"/><Relationship Id="rId1" Type="http://schemas.openxmlformats.org/officeDocument/2006/relationships/externalLinkPath" Target="/Users/SK070581/Desktop/&#35211;&#31309;&#26360;&#33258;&#21205;&#20316;&#25104;&#12484;&#12540;&#12523;(v6.20)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Box\550_&#39318;&#37117;&#22287;\&#27744;&#26412;\KC&#12450;&#12473;&#12459;\&#27178;&#27996;\&#21513;&#30000;&#27663;\JACKS\&#65288;&#20206;&#31216;&#65289;&#24029;&#23822;&#24066;&#24029;&#23822;&#21306;&#22823;&#23798;&#19978;&#36249;&#35336;&#30011;&#26032;&#31689;&#38450;&#27700;&#24037;&#20107;\&#35211;&#31309;&#26360;(v4.13).xlsm" TargetMode="External"/><Relationship Id="rId1" Type="http://schemas.openxmlformats.org/officeDocument/2006/relationships/externalLinkPath" Target="file:///D:\Box\550_&#39318;&#37117;&#22287;\&#27744;&#26412;\KC&#12450;&#12473;&#12459;\&#27178;&#27996;\&#21513;&#30000;&#27663;\JACKS\&#65288;&#20206;&#31216;&#65289;&#24029;&#23822;&#24066;&#24029;&#23822;&#21306;&#22823;&#23798;&#19978;&#36249;&#35336;&#30011;&#26032;&#31689;&#38450;&#27700;&#24037;&#20107;\&#35211;&#31309;&#26360;(v4.13)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Box\550_&#39318;&#37117;&#22287;\&#27744;&#26412;\KC&#12450;&#12473;&#12459;\&#24341;&#32153;&#12366;&#36039;&#26009;(&#24179;&#26408;)\(&#26666;)K&#12539;C&#12450;&#12473;&#12459;%20&#27178;&#27996;&#26412;&#24215;\&#20117;&#20986;&#35506;&#38263;&#20195;&#29702;\&#39640;&#27211;&#38450;&#27700;&#24037;&#26989;\2023.12.11_&#22823;&#28044;&#35895;&#39376;&#36554;&#22580;&#12488;&#12452;&#12524;&#23627;&#26681;(&#39640;&#27211;&#38450;&#27700;&#24037;&#26989;)&#8810;&#21463;&#27880;&#29289;&#20214;&#8811;\&#22823;&#28044;&#35895;&#39376;&#36554;&#22580;&#12488;&#12452;&#12524;&#23627;&#26681;_&#20316;&#25104;&#29992;&#12304;FS40&#12305;.xlsm" TargetMode="External"/><Relationship Id="rId1" Type="http://schemas.openxmlformats.org/officeDocument/2006/relationships/externalLinkPath" Target="file:///D:\Box\550_&#39318;&#37117;&#22287;\&#27744;&#26412;\KC&#12450;&#12473;&#12459;\&#24341;&#32153;&#12366;&#36039;&#26009;(&#24179;&#26408;)\(&#26666;)K&#12539;C&#12450;&#12473;&#12459;%20&#27178;&#27996;&#26412;&#24215;\&#20117;&#20986;&#35506;&#38263;&#20195;&#29702;\&#39640;&#27211;&#38450;&#27700;&#24037;&#26989;\2023.12.11_&#22823;&#28044;&#35895;&#39376;&#36554;&#22580;&#12488;&#12452;&#12524;&#23627;&#26681;(&#39640;&#27211;&#38450;&#27700;&#24037;&#26989;)&#8810;&#21463;&#27880;&#29289;&#20214;&#8811;\&#22823;&#28044;&#35895;&#39376;&#36554;&#22580;&#12488;&#12452;&#12524;&#23627;&#26681;_&#20316;&#25104;&#29992;&#12304;FS40&#12305;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K011473\Desktop\&#12304;&#35211;&#31309;&#26360;&#33258;&#21205;&#20316;&#25104;&#12484;&#12540;&#12523;&#12305;(v6.20).xlsm" TargetMode="External"/><Relationship Id="rId1" Type="http://schemas.openxmlformats.org/officeDocument/2006/relationships/externalLinkPath" Target="/Users/SK011473/Desktop/&#24341;&#12365;&#21462;&#12426;&#20104;&#23450;&#65288;2026.4.16&#12414;&#12392;&#12417;&#65289;/&#12304;&#35211;&#31309;&#26360;&#33258;&#21205;&#20316;&#25104;&#12484;&#12540;&#12523;&#12305;(v6.20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基本設定"/>
      <sheetName val="工程表"/>
      <sheetName val="見積書"/>
      <sheetName val="材料DB"/>
      <sheetName val="工程DB"/>
      <sheetName val="材料リスト"/>
      <sheetName val="仕様リスト"/>
      <sheetName val="保護塗料"/>
      <sheetName val="設計価格"/>
      <sheetName val="リスト"/>
      <sheetName val="(SARD)アンカーディスク計算"/>
      <sheetName val="各種使用量算出根拠"/>
      <sheetName val="注意が必要な仕様"/>
      <sheetName val="特価申請書"/>
      <sheetName val="見積書自動作成ツール(v6.20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基本設定"/>
      <sheetName val="工程表"/>
      <sheetName val="見積書"/>
      <sheetName val="特価申請書"/>
      <sheetName val="材料DB"/>
      <sheetName val="工程DB"/>
      <sheetName val="材料リスト"/>
      <sheetName val="仕様リスト"/>
      <sheetName val="保護塗料"/>
      <sheetName val="設計価格"/>
      <sheetName val="リスト"/>
      <sheetName val="(SARD)アンカーディスク計算"/>
      <sheetName val="各種使用量算出根拠"/>
      <sheetName val="注意が必要な仕様"/>
      <sheetName val="見積書(v4.13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基本設定"/>
      <sheetName val="工程表"/>
      <sheetName val="見積書"/>
      <sheetName val="特価申請書"/>
      <sheetName val="材料DB"/>
      <sheetName val="工程DB"/>
      <sheetName val="材料リスト"/>
      <sheetName val="仕様リスト"/>
      <sheetName val="保護塗料"/>
      <sheetName val="設計価格"/>
      <sheetName val="リスト"/>
      <sheetName val="(SARD)アンカーディスク計算"/>
      <sheetName val="各種使用量算出根拠"/>
      <sheetName val="注意が必要な仕様"/>
      <sheetName val="大涌谷駐車場トイレ屋根_作成用【FS40】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基本設定"/>
      <sheetName val="工程表"/>
      <sheetName val="見積書"/>
      <sheetName val="材料DB"/>
      <sheetName val="工程DB"/>
      <sheetName val="材料リスト"/>
      <sheetName val="仕様リスト"/>
      <sheetName val="保護塗料"/>
      <sheetName val="設計価格"/>
      <sheetName val="リスト"/>
      <sheetName val="(SARD)アンカーディスク計算"/>
      <sheetName val="各種使用量算出根拠"/>
      <sheetName val="注意が必要な仕様"/>
      <sheetName val="特価申請書"/>
      <sheetName val="【見積書自動作成ツール】(v6.20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621BB5-9CE8-417E-8546-6164F96B5720}" name="集計テーブル" displayName="集計テーブル" ref="A2:M3" insertRow="1" headerRowDxfId="24" tableBorderDxfId="23">
  <autoFilter ref="A2:M3" xr:uid="{70621BB5-9CE8-417E-8546-6164F96B572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C5737023-2BBD-4E88-AC4C-277284F1193E}" name="担当者" totalsRowLabel="集計" dataDxfId="22" totalsRowDxfId="21"/>
    <tableColumn id="2" xr3:uid="{BD07E8BF-0D14-45AF-B7EE-78B95FC669B9}" name="得意先" dataDxfId="20" totalsRowDxfId="19"/>
    <tableColumn id="3" xr3:uid="{89BBD8BF-96ED-4899-8459-8774CDC7D119}" name="現場" dataDxfId="18" totalsRowDxfId="17"/>
    <tableColumn id="4" xr3:uid="{706131A5-26F5-4E61-A584-B3405B240E44}" name="材料" dataDxfId="16" totalsRowDxfId="15"/>
    <tableColumn id="5" xr3:uid="{E5073571-814D-45C1-8046-AF72A5F9B36B}" name="数量" dataDxfId="14" totalsRowDxfId="13"/>
    <tableColumn id="6" xr3:uid="{CF1191FC-89CB-4329-A13F-F4A0BE726EF4}" name="単位" dataDxfId="12" totalsRowDxfId="11"/>
    <tableColumn id="7" xr3:uid="{942B86F8-9765-4792-80F1-BE8C4B070370}" name="納品日" dataDxfId="10" totalsRowDxfId="9"/>
    <tableColumn id="8" xr3:uid="{F085A668-4D73-4CC2-8F59-2A46FD705A61}" name="注文状況" dataDxfId="8" totalsRowDxfId="7"/>
    <tableColumn id="9" xr3:uid="{9C9CA779-295C-4DDD-8880-19D8E32C4791}" name="注文日" dataDxfId="6" totalsRowDxfId="5"/>
    <tableColumn id="10" xr3:uid="{C1F1009E-2AC1-4DC9-822F-F11FF839681D}" name="現場状況" totalsRowFunction="count" dataDxfId="4" totalsRowDxfId="3"/>
    <tableColumn id="11" xr3:uid="{0FF504A0-0FCB-4835-810B-5DBD0AF9A835}" name="チェック" dataDxfId="2"/>
    <tableColumn id="12" xr3:uid="{28046399-CF84-4555-9A72-11641454E277}" name="日時" dataDxfId="1"/>
    <tableColumn id="13" xr3:uid="{BE9BD8FD-ED80-4536-814A-45ABBD8003A1}" name="UR" dataDxfId="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A280318-2AFE-445B-83E4-6A0302865691}" name="製品DB" displayName="製品DB" ref="A1:C179" totalsRowShown="0">
  <autoFilter ref="A1:C179" xr:uid="{34B830A1-7031-4DA2-81DF-88E40D84A20B}"/>
  <tableColumns count="3">
    <tableColumn id="1" xr3:uid="{D36DFF45-EB90-485C-B84C-160DA81C29D9}" name="枠組み"/>
    <tableColumn id="2" xr3:uid="{604040C2-C8B5-42ED-BF84-14A183410FC5}" name="製品番号"/>
    <tableColumn id="3" xr3:uid="{DDAA0909-EA67-4F33-AE21-474FC9F49846}" name="製品名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D2CFB8-D7C6-4649-AFEF-84D2ED0F8970}" name="担当DB" displayName="担当DB" ref="A1:B6" totalsRowShown="0">
  <autoFilter ref="A1:B6" xr:uid="{E60E79C1-4AF5-4991-B57D-7BDD019EF61D}"/>
  <tableColumns count="2">
    <tableColumn id="1" xr3:uid="{1FE65252-64C7-4578-8E3C-ED6FCE8D6F3A}" name="エリア"/>
    <tableColumn id="2" xr3:uid="{C78DD35B-96EC-4709-8C1A-2BCCE6D5D854}" name="担当者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59C7A-E9E7-4C54-9B96-C774CF8307D3}">
  <sheetPr codeName="Sheet2"/>
  <dimension ref="A1:M3"/>
  <sheetViews>
    <sheetView tabSelected="1" topLeftCell="B1" zoomScaleNormal="100" zoomScaleSheetLayoutView="80" workbookViewId="0">
      <pane ySplit="2" topLeftCell="A3" activePane="bottomLeft" state="frozen"/>
      <selection activeCell="A14" sqref="A14"/>
      <selection pane="bottomLeft" activeCell="C20" sqref="C20"/>
    </sheetView>
  </sheetViews>
  <sheetFormatPr defaultColWidth="8.69921875" defaultRowHeight="17.399999999999999" x14ac:dyDescent="0.45"/>
  <cols>
    <col min="1" max="1" width="15.3984375" style="1" bestFit="1" customWidth="1"/>
    <col min="2" max="2" width="14.796875" style="3" bestFit="1" customWidth="1"/>
    <col min="3" max="3" width="48" style="8" customWidth="1"/>
    <col min="4" max="4" width="39.09765625" style="8" bestFit="1" customWidth="1"/>
    <col min="5" max="6" width="8.69921875" style="1"/>
    <col min="7" max="7" width="10.296875" style="2" customWidth="1"/>
    <col min="8" max="8" width="10.09765625" style="3" customWidth="1"/>
    <col min="9" max="9" width="8.69921875" style="3"/>
    <col min="10" max="10" width="10.09765625" style="3" customWidth="1"/>
    <col min="11" max="11" width="8.69921875" style="4" customWidth="1"/>
    <col min="12" max="12" width="8.69921875" style="1" customWidth="1"/>
    <col min="13" max="16384" width="8.69921875" style="1"/>
  </cols>
  <sheetData>
    <row r="1" spans="1:13" ht="41.4" customHeight="1" thickBot="1" x14ac:dyDescent="0.5">
      <c r="A1" s="3" t="s">
        <v>349</v>
      </c>
      <c r="B1" s="5" t="s">
        <v>365</v>
      </c>
    </row>
    <row r="2" spans="1:13" x14ac:dyDescent="0.45">
      <c r="A2" s="12" t="s">
        <v>29</v>
      </c>
      <c r="B2" s="13" t="s">
        <v>353</v>
      </c>
      <c r="C2" s="14" t="s">
        <v>354</v>
      </c>
      <c r="D2" s="14" t="s">
        <v>355</v>
      </c>
      <c r="E2" s="15" t="s">
        <v>356</v>
      </c>
      <c r="F2" s="15" t="s">
        <v>357</v>
      </c>
      <c r="G2" s="15" t="s">
        <v>358</v>
      </c>
      <c r="H2" s="15" t="s">
        <v>359</v>
      </c>
      <c r="I2" s="15" t="s">
        <v>360</v>
      </c>
      <c r="J2" s="15" t="s">
        <v>361</v>
      </c>
      <c r="K2" s="23" t="s">
        <v>369</v>
      </c>
      <c r="L2" s="24" t="s">
        <v>370</v>
      </c>
      <c r="M2" s="27" t="s">
        <v>371</v>
      </c>
    </row>
    <row r="3" spans="1:13" x14ac:dyDescent="0.45">
      <c r="A3" s="16"/>
      <c r="B3" s="17"/>
      <c r="C3" s="18"/>
      <c r="D3" s="19"/>
      <c r="E3" s="20"/>
      <c r="F3" s="20"/>
      <c r="G3" s="21"/>
      <c r="H3" s="20"/>
      <c r="I3" s="20"/>
      <c r="J3" s="22"/>
      <c r="K3" s="25"/>
      <c r="L3" s="26"/>
      <c r="M3" s="26"/>
    </row>
  </sheetData>
  <phoneticPr fontId="1"/>
  <conditionalFormatting sqref="G3:J3">
    <cfRule type="containsBlanks" dxfId="25" priority="1">
      <formula>LEN(TRIM(G3))=0</formula>
    </cfRule>
  </conditionalFormatting>
  <dataValidations count="2">
    <dataValidation type="list" allowBlank="1" showInputMessage="1" showErrorMessage="1" sqref="B1" xr:uid="{8AC815E6-633B-4DCD-9FF9-A1B1DBD0B9DC}">
      <formula1>INDIRECT("担当DB[担当者]")</formula1>
    </dataValidation>
    <dataValidation type="textLength" allowBlank="1" showInputMessage="1" showErrorMessage="1" errorTitle="停止" error="文字数が長すぎます。255文字以内で入力してください" sqref="A3:J3" xr:uid="{C4A65E76-F4FF-4EC7-9054-B05417F41DAD}">
      <formula1>0</formula1>
      <formula2>255</formula2>
    </dataValidation>
  </dataValidations>
  <pageMargins left="0.7" right="0.7" top="0.75" bottom="0.75" header="0.3" footer="0.3"/>
  <pageSetup paperSize="9" scale="63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手動取込_通常">
                <anchor>
                  <from>
                    <xdr:col>2</xdr:col>
                    <xdr:colOff>60960</xdr:colOff>
                    <xdr:row>0</xdr:row>
                    <xdr:rowOff>99060</xdr:rowOff>
                  </from>
                  <to>
                    <xdr:col>2</xdr:col>
                    <xdr:colOff>1242060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見積削除">
                <anchor>
                  <from>
                    <xdr:col>2</xdr:col>
                    <xdr:colOff>2590800</xdr:colOff>
                    <xdr:row>0</xdr:row>
                    <xdr:rowOff>91440</xdr:rowOff>
                  </from>
                  <to>
                    <xdr:col>3</xdr:col>
                    <xdr:colOff>45720</xdr:colOff>
                    <xdr:row>0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見積書フォルダ設定">
                <anchor>
                  <from>
                    <xdr:col>3</xdr:col>
                    <xdr:colOff>99060</xdr:colOff>
                    <xdr:row>0</xdr:row>
                    <xdr:rowOff>91440</xdr:rowOff>
                  </from>
                  <to>
                    <xdr:col>3</xdr:col>
                    <xdr:colOff>1211580</xdr:colOff>
                    <xdr:row>0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手動取込_通常">
                <anchor>
                  <from>
                    <xdr:col>2</xdr:col>
                    <xdr:colOff>60960</xdr:colOff>
                    <xdr:row>0</xdr:row>
                    <xdr:rowOff>99060</xdr:rowOff>
                  </from>
                  <to>
                    <xdr:col>2</xdr:col>
                    <xdr:colOff>1242060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手動取込_UR用">
                <anchor>
                  <from>
                    <xdr:col>2</xdr:col>
                    <xdr:colOff>1325880</xdr:colOff>
                    <xdr:row>0</xdr:row>
                    <xdr:rowOff>99060</xdr:rowOff>
                  </from>
                  <to>
                    <xdr:col>2</xdr:col>
                    <xdr:colOff>2506980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EB448-1D53-47EA-A188-7497CA3B90F2}">
  <sheetPr codeName="Sheet3"/>
  <dimension ref="A1"/>
  <sheetViews>
    <sheetView workbookViewId="0">
      <selection activeCell="A2" sqref="A2"/>
    </sheetView>
  </sheetViews>
  <sheetFormatPr defaultRowHeight="18" x14ac:dyDescent="0.45"/>
  <sheetData>
    <row r="1" spans="1:1" x14ac:dyDescent="0.45">
      <c r="A1" t="str" cm="1">
        <f t="array" aca="1" ref="A1" ca="1">LEFT(CELL("filename",A1),FIND("[",CELL("filename",A1))-1)</f>
        <v>C:\Users\SK070581\Desktop\聞き取り予定設計案\★元ファイル\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8B9B8-A69C-42E1-B7F4-35314DE8BF92}">
  <sheetPr codeName="Sheet5"/>
  <dimension ref="A1:C174"/>
  <sheetViews>
    <sheetView workbookViewId="0"/>
  </sheetViews>
  <sheetFormatPr defaultRowHeight="18" x14ac:dyDescent="0.45"/>
  <cols>
    <col min="1" max="1" width="27.8984375" bestFit="1" customWidth="1"/>
    <col min="2" max="2" width="26.8984375" customWidth="1"/>
    <col min="3" max="3" width="33.8984375" bestFit="1" customWidth="1"/>
  </cols>
  <sheetData>
    <row r="1" spans="1:3" x14ac:dyDescent="0.45">
      <c r="A1" t="s">
        <v>31</v>
      </c>
      <c r="B1" t="s">
        <v>32</v>
      </c>
      <c r="C1" t="s">
        <v>33</v>
      </c>
    </row>
    <row r="2" spans="1:3" x14ac:dyDescent="0.45">
      <c r="A2" t="s">
        <v>34</v>
      </c>
      <c r="B2" t="s">
        <v>35</v>
      </c>
      <c r="C2" t="s">
        <v>19</v>
      </c>
    </row>
    <row r="3" spans="1:3" x14ac:dyDescent="0.45">
      <c r="A3" t="s">
        <v>34</v>
      </c>
      <c r="B3" t="s">
        <v>36</v>
      </c>
      <c r="C3" t="s">
        <v>8</v>
      </c>
    </row>
    <row r="4" spans="1:3" x14ac:dyDescent="0.45">
      <c r="A4" t="s">
        <v>34</v>
      </c>
      <c r="B4" t="s">
        <v>37</v>
      </c>
      <c r="C4" t="s">
        <v>38</v>
      </c>
    </row>
    <row r="5" spans="1:3" x14ac:dyDescent="0.45">
      <c r="A5" t="s">
        <v>34</v>
      </c>
      <c r="B5" t="s">
        <v>39</v>
      </c>
      <c r="C5" t="s">
        <v>40</v>
      </c>
    </row>
    <row r="6" spans="1:3" x14ac:dyDescent="0.45">
      <c r="A6" t="s">
        <v>34</v>
      </c>
      <c r="B6" t="s">
        <v>41</v>
      </c>
      <c r="C6" t="s">
        <v>42</v>
      </c>
    </row>
    <row r="7" spans="1:3" x14ac:dyDescent="0.45">
      <c r="A7" t="s">
        <v>34</v>
      </c>
      <c r="B7" t="s">
        <v>43</v>
      </c>
      <c r="C7" t="s">
        <v>13</v>
      </c>
    </row>
    <row r="8" spans="1:3" x14ac:dyDescent="0.45">
      <c r="A8" t="s">
        <v>34</v>
      </c>
      <c r="B8" t="s">
        <v>44</v>
      </c>
      <c r="C8" t="s">
        <v>45</v>
      </c>
    </row>
    <row r="9" spans="1:3" x14ac:dyDescent="0.45">
      <c r="A9" t="s">
        <v>34</v>
      </c>
      <c r="B9" t="s">
        <v>46</v>
      </c>
      <c r="C9" t="s">
        <v>9</v>
      </c>
    </row>
    <row r="10" spans="1:3" x14ac:dyDescent="0.45">
      <c r="A10" t="s">
        <v>34</v>
      </c>
      <c r="B10" t="s">
        <v>47</v>
      </c>
      <c r="C10" t="s">
        <v>48</v>
      </c>
    </row>
    <row r="11" spans="1:3" x14ac:dyDescent="0.45">
      <c r="A11" t="s">
        <v>34</v>
      </c>
      <c r="B11" t="s">
        <v>49</v>
      </c>
      <c r="C11" t="s">
        <v>50</v>
      </c>
    </row>
    <row r="12" spans="1:3" x14ac:dyDescent="0.45">
      <c r="A12" t="s">
        <v>34</v>
      </c>
      <c r="B12" t="s">
        <v>51</v>
      </c>
      <c r="C12" t="s">
        <v>52</v>
      </c>
    </row>
    <row r="13" spans="1:3" x14ac:dyDescent="0.45">
      <c r="A13" t="s">
        <v>34</v>
      </c>
      <c r="B13" t="s">
        <v>53</v>
      </c>
      <c r="C13" t="s">
        <v>2</v>
      </c>
    </row>
    <row r="14" spans="1:3" x14ac:dyDescent="0.45">
      <c r="A14" t="s">
        <v>34</v>
      </c>
      <c r="B14" t="s">
        <v>54</v>
      </c>
      <c r="C14" t="s">
        <v>55</v>
      </c>
    </row>
    <row r="15" spans="1:3" x14ac:dyDescent="0.45">
      <c r="A15" t="s">
        <v>34</v>
      </c>
      <c r="B15" t="s">
        <v>56</v>
      </c>
      <c r="C15" t="s">
        <v>57</v>
      </c>
    </row>
    <row r="16" spans="1:3" x14ac:dyDescent="0.45">
      <c r="A16" t="s">
        <v>58</v>
      </c>
      <c r="B16" t="s">
        <v>59</v>
      </c>
      <c r="C16" t="s">
        <v>60</v>
      </c>
    </row>
    <row r="17" spans="1:3" x14ac:dyDescent="0.45">
      <c r="A17" t="s">
        <v>58</v>
      </c>
      <c r="B17" t="s">
        <v>61</v>
      </c>
      <c r="C17" t="s">
        <v>62</v>
      </c>
    </row>
    <row r="18" spans="1:3" x14ac:dyDescent="0.45">
      <c r="A18" t="s">
        <v>58</v>
      </c>
      <c r="B18" t="s">
        <v>63</v>
      </c>
      <c r="C18" t="s">
        <v>64</v>
      </c>
    </row>
    <row r="19" spans="1:3" x14ac:dyDescent="0.45">
      <c r="A19" t="s">
        <v>58</v>
      </c>
      <c r="B19" t="s">
        <v>65</v>
      </c>
      <c r="C19" t="s">
        <v>66</v>
      </c>
    </row>
    <row r="20" spans="1:3" x14ac:dyDescent="0.45">
      <c r="A20" t="s">
        <v>58</v>
      </c>
      <c r="B20" t="s">
        <v>67</v>
      </c>
      <c r="C20" t="s">
        <v>68</v>
      </c>
    </row>
    <row r="21" spans="1:3" x14ac:dyDescent="0.45">
      <c r="A21" t="s">
        <v>58</v>
      </c>
      <c r="B21" t="s">
        <v>69</v>
      </c>
      <c r="C21" t="s">
        <v>70</v>
      </c>
    </row>
    <row r="22" spans="1:3" x14ac:dyDescent="0.45">
      <c r="A22" t="s">
        <v>58</v>
      </c>
      <c r="B22" t="s">
        <v>71</v>
      </c>
      <c r="C22" t="s">
        <v>72</v>
      </c>
    </row>
    <row r="23" spans="1:3" x14ac:dyDescent="0.45">
      <c r="A23" t="s">
        <v>58</v>
      </c>
      <c r="B23" t="s">
        <v>73</v>
      </c>
      <c r="C23" t="s">
        <v>74</v>
      </c>
    </row>
    <row r="24" spans="1:3" x14ac:dyDescent="0.45">
      <c r="A24" t="s">
        <v>58</v>
      </c>
      <c r="B24" t="s">
        <v>75</v>
      </c>
      <c r="C24" t="s">
        <v>76</v>
      </c>
    </row>
    <row r="25" spans="1:3" x14ac:dyDescent="0.45">
      <c r="A25" t="s">
        <v>58</v>
      </c>
      <c r="B25" t="s">
        <v>77</v>
      </c>
      <c r="C25" t="s">
        <v>78</v>
      </c>
    </row>
    <row r="26" spans="1:3" x14ac:dyDescent="0.45">
      <c r="A26" t="s">
        <v>58</v>
      </c>
      <c r="B26" t="s">
        <v>79</v>
      </c>
      <c r="C26" t="s">
        <v>80</v>
      </c>
    </row>
    <row r="27" spans="1:3" x14ac:dyDescent="0.45">
      <c r="A27" t="s">
        <v>58</v>
      </c>
      <c r="B27" t="s">
        <v>81</v>
      </c>
      <c r="C27" t="s">
        <v>82</v>
      </c>
    </row>
    <row r="28" spans="1:3" x14ac:dyDescent="0.45">
      <c r="A28" t="s">
        <v>58</v>
      </c>
      <c r="B28" t="s">
        <v>83</v>
      </c>
      <c r="C28" t="s">
        <v>84</v>
      </c>
    </row>
    <row r="29" spans="1:3" x14ac:dyDescent="0.45">
      <c r="A29" t="s">
        <v>58</v>
      </c>
      <c r="B29" t="s">
        <v>85</v>
      </c>
      <c r="C29" t="s">
        <v>86</v>
      </c>
    </row>
    <row r="30" spans="1:3" x14ac:dyDescent="0.45">
      <c r="A30" t="s">
        <v>58</v>
      </c>
      <c r="B30" t="s">
        <v>87</v>
      </c>
      <c r="C30" t="s">
        <v>88</v>
      </c>
    </row>
    <row r="31" spans="1:3" x14ac:dyDescent="0.45">
      <c r="A31" t="s">
        <v>58</v>
      </c>
      <c r="B31" t="s">
        <v>89</v>
      </c>
      <c r="C31" t="s">
        <v>90</v>
      </c>
    </row>
    <row r="32" spans="1:3" x14ac:dyDescent="0.45">
      <c r="A32" t="s">
        <v>58</v>
      </c>
      <c r="B32" t="s">
        <v>91</v>
      </c>
      <c r="C32" t="s">
        <v>92</v>
      </c>
    </row>
    <row r="33" spans="1:3" x14ac:dyDescent="0.45">
      <c r="A33" t="s">
        <v>58</v>
      </c>
      <c r="B33" t="s">
        <v>93</v>
      </c>
      <c r="C33" t="s">
        <v>94</v>
      </c>
    </row>
    <row r="34" spans="1:3" x14ac:dyDescent="0.45">
      <c r="A34" t="s">
        <v>58</v>
      </c>
      <c r="B34" t="s">
        <v>95</v>
      </c>
      <c r="C34" t="s">
        <v>96</v>
      </c>
    </row>
    <row r="35" spans="1:3" x14ac:dyDescent="0.45">
      <c r="A35" t="s">
        <v>58</v>
      </c>
      <c r="B35" t="s">
        <v>97</v>
      </c>
      <c r="C35" t="s">
        <v>98</v>
      </c>
    </row>
    <row r="36" spans="1:3" x14ac:dyDescent="0.45">
      <c r="A36" t="s">
        <v>58</v>
      </c>
      <c r="B36" t="s">
        <v>99</v>
      </c>
      <c r="C36" t="s">
        <v>30</v>
      </c>
    </row>
    <row r="37" spans="1:3" x14ac:dyDescent="0.45">
      <c r="A37" t="s">
        <v>58</v>
      </c>
      <c r="B37" t="s">
        <v>100</v>
      </c>
      <c r="C37" t="s">
        <v>101</v>
      </c>
    </row>
    <row r="38" spans="1:3" x14ac:dyDescent="0.45">
      <c r="A38" t="s">
        <v>102</v>
      </c>
      <c r="B38" t="s">
        <v>103</v>
      </c>
      <c r="C38" t="s">
        <v>104</v>
      </c>
    </row>
    <row r="39" spans="1:3" x14ac:dyDescent="0.45">
      <c r="A39" t="s">
        <v>102</v>
      </c>
      <c r="B39" t="s">
        <v>105</v>
      </c>
      <c r="C39" t="s">
        <v>106</v>
      </c>
    </row>
    <row r="40" spans="1:3" x14ac:dyDescent="0.45">
      <c r="A40" t="s">
        <v>102</v>
      </c>
      <c r="B40" t="s">
        <v>107</v>
      </c>
      <c r="C40" t="s">
        <v>108</v>
      </c>
    </row>
    <row r="41" spans="1:3" x14ac:dyDescent="0.45">
      <c r="A41" t="s">
        <v>102</v>
      </c>
      <c r="B41" t="s">
        <v>109</v>
      </c>
      <c r="C41" t="s">
        <v>110</v>
      </c>
    </row>
    <row r="42" spans="1:3" x14ac:dyDescent="0.45">
      <c r="A42" t="s">
        <v>102</v>
      </c>
      <c r="B42" t="s">
        <v>111</v>
      </c>
      <c r="C42" t="s">
        <v>112</v>
      </c>
    </row>
    <row r="43" spans="1:3" x14ac:dyDescent="0.45">
      <c r="A43" t="s">
        <v>102</v>
      </c>
      <c r="B43" t="s">
        <v>113</v>
      </c>
      <c r="C43" t="s">
        <v>114</v>
      </c>
    </row>
    <row r="44" spans="1:3" x14ac:dyDescent="0.45">
      <c r="A44" t="s">
        <v>102</v>
      </c>
      <c r="B44" t="s">
        <v>115</v>
      </c>
      <c r="C44" t="s">
        <v>116</v>
      </c>
    </row>
    <row r="45" spans="1:3" x14ac:dyDescent="0.45">
      <c r="A45" t="s">
        <v>102</v>
      </c>
      <c r="B45" t="s">
        <v>117</v>
      </c>
      <c r="C45" t="s">
        <v>118</v>
      </c>
    </row>
    <row r="46" spans="1:3" x14ac:dyDescent="0.45">
      <c r="A46" t="s">
        <v>102</v>
      </c>
      <c r="B46" t="s">
        <v>119</v>
      </c>
      <c r="C46" t="s">
        <v>120</v>
      </c>
    </row>
    <row r="47" spans="1:3" x14ac:dyDescent="0.45">
      <c r="A47" t="s">
        <v>102</v>
      </c>
      <c r="B47" t="s">
        <v>121</v>
      </c>
      <c r="C47" t="s">
        <v>122</v>
      </c>
    </row>
    <row r="48" spans="1:3" x14ac:dyDescent="0.45">
      <c r="A48" t="s">
        <v>102</v>
      </c>
      <c r="B48" t="s">
        <v>123</v>
      </c>
      <c r="C48" t="s">
        <v>124</v>
      </c>
    </row>
    <row r="49" spans="1:3" x14ac:dyDescent="0.45">
      <c r="A49" t="s">
        <v>102</v>
      </c>
      <c r="B49" t="s">
        <v>125</v>
      </c>
      <c r="C49" t="s">
        <v>126</v>
      </c>
    </row>
    <row r="50" spans="1:3" x14ac:dyDescent="0.45">
      <c r="A50" t="s">
        <v>102</v>
      </c>
      <c r="B50" t="s">
        <v>127</v>
      </c>
      <c r="C50" t="s">
        <v>128</v>
      </c>
    </row>
    <row r="51" spans="1:3" x14ac:dyDescent="0.45">
      <c r="A51" t="s">
        <v>129</v>
      </c>
      <c r="B51" t="s">
        <v>130</v>
      </c>
      <c r="C51" t="s">
        <v>131</v>
      </c>
    </row>
    <row r="52" spans="1:3" x14ac:dyDescent="0.45">
      <c r="A52" t="s">
        <v>129</v>
      </c>
      <c r="B52" t="s">
        <v>132</v>
      </c>
      <c r="C52" t="s">
        <v>133</v>
      </c>
    </row>
    <row r="53" spans="1:3" x14ac:dyDescent="0.45">
      <c r="A53" t="s">
        <v>129</v>
      </c>
      <c r="B53" t="s">
        <v>134</v>
      </c>
      <c r="C53" t="s">
        <v>135</v>
      </c>
    </row>
    <row r="54" spans="1:3" x14ac:dyDescent="0.45">
      <c r="A54" t="s">
        <v>129</v>
      </c>
      <c r="B54" t="s">
        <v>136</v>
      </c>
      <c r="C54" t="s">
        <v>137</v>
      </c>
    </row>
    <row r="55" spans="1:3" x14ac:dyDescent="0.45">
      <c r="A55" t="s">
        <v>129</v>
      </c>
      <c r="B55" t="s">
        <v>138</v>
      </c>
      <c r="C55" t="s">
        <v>139</v>
      </c>
    </row>
    <row r="56" spans="1:3" x14ac:dyDescent="0.45">
      <c r="A56" t="s">
        <v>129</v>
      </c>
      <c r="B56" t="s">
        <v>140</v>
      </c>
      <c r="C56" t="s">
        <v>141</v>
      </c>
    </row>
    <row r="57" spans="1:3" x14ac:dyDescent="0.45">
      <c r="A57" t="s">
        <v>129</v>
      </c>
      <c r="B57" t="s">
        <v>142</v>
      </c>
      <c r="C57" t="s">
        <v>23</v>
      </c>
    </row>
    <row r="58" spans="1:3" x14ac:dyDescent="0.45">
      <c r="A58" t="s">
        <v>129</v>
      </c>
      <c r="B58" t="s">
        <v>143</v>
      </c>
      <c r="C58" t="s">
        <v>144</v>
      </c>
    </row>
    <row r="59" spans="1:3" x14ac:dyDescent="0.45">
      <c r="A59" t="s">
        <v>129</v>
      </c>
      <c r="B59" t="s">
        <v>145</v>
      </c>
      <c r="C59" t="s">
        <v>146</v>
      </c>
    </row>
    <row r="60" spans="1:3" x14ac:dyDescent="0.45">
      <c r="A60" t="s">
        <v>129</v>
      </c>
      <c r="B60" t="s">
        <v>147</v>
      </c>
      <c r="C60" t="s">
        <v>148</v>
      </c>
    </row>
    <row r="61" spans="1:3" x14ac:dyDescent="0.45">
      <c r="A61" t="s">
        <v>129</v>
      </c>
      <c r="B61" t="s">
        <v>149</v>
      </c>
      <c r="C61" t="s">
        <v>150</v>
      </c>
    </row>
    <row r="62" spans="1:3" x14ac:dyDescent="0.45">
      <c r="A62" t="s">
        <v>129</v>
      </c>
      <c r="B62" t="s">
        <v>151</v>
      </c>
      <c r="C62" t="s">
        <v>5</v>
      </c>
    </row>
    <row r="63" spans="1:3" x14ac:dyDescent="0.45">
      <c r="A63" t="s">
        <v>152</v>
      </c>
      <c r="B63" t="s">
        <v>153</v>
      </c>
      <c r="C63" t="s">
        <v>40</v>
      </c>
    </row>
    <row r="64" spans="1:3" x14ac:dyDescent="0.45">
      <c r="A64" t="s">
        <v>152</v>
      </c>
      <c r="B64" t="s">
        <v>154</v>
      </c>
      <c r="C64" t="s">
        <v>38</v>
      </c>
    </row>
    <row r="65" spans="1:3" x14ac:dyDescent="0.45">
      <c r="A65" t="s">
        <v>152</v>
      </c>
      <c r="B65" t="s">
        <v>155</v>
      </c>
      <c r="C65" t="s">
        <v>156</v>
      </c>
    </row>
    <row r="66" spans="1:3" x14ac:dyDescent="0.45">
      <c r="A66" t="s">
        <v>152</v>
      </c>
      <c r="B66" t="s">
        <v>157</v>
      </c>
      <c r="C66" t="s">
        <v>158</v>
      </c>
    </row>
    <row r="67" spans="1:3" x14ac:dyDescent="0.45">
      <c r="A67" t="s">
        <v>159</v>
      </c>
      <c r="B67" t="s">
        <v>160</v>
      </c>
      <c r="C67" t="s">
        <v>161</v>
      </c>
    </row>
    <row r="68" spans="1:3" x14ac:dyDescent="0.45">
      <c r="A68" t="s">
        <v>159</v>
      </c>
      <c r="B68" t="s">
        <v>162</v>
      </c>
      <c r="C68" t="s">
        <v>163</v>
      </c>
    </row>
    <row r="69" spans="1:3" x14ac:dyDescent="0.45">
      <c r="A69" t="s">
        <v>159</v>
      </c>
      <c r="B69" t="s">
        <v>164</v>
      </c>
      <c r="C69" t="s">
        <v>165</v>
      </c>
    </row>
    <row r="70" spans="1:3" x14ac:dyDescent="0.45">
      <c r="A70" t="s">
        <v>159</v>
      </c>
      <c r="B70" t="s">
        <v>166</v>
      </c>
      <c r="C70" t="s">
        <v>167</v>
      </c>
    </row>
    <row r="71" spans="1:3" x14ac:dyDescent="0.45">
      <c r="A71" t="s">
        <v>168</v>
      </c>
      <c r="B71" t="s">
        <v>169</v>
      </c>
      <c r="C71" t="s">
        <v>6</v>
      </c>
    </row>
    <row r="72" spans="1:3" x14ac:dyDescent="0.45">
      <c r="A72" t="s">
        <v>168</v>
      </c>
      <c r="B72" t="s">
        <v>170</v>
      </c>
      <c r="C72" t="s">
        <v>171</v>
      </c>
    </row>
    <row r="73" spans="1:3" x14ac:dyDescent="0.45">
      <c r="A73" t="s">
        <v>168</v>
      </c>
      <c r="B73" t="s">
        <v>172</v>
      </c>
      <c r="C73" t="s">
        <v>7</v>
      </c>
    </row>
    <row r="74" spans="1:3" x14ac:dyDescent="0.45">
      <c r="A74" t="s">
        <v>168</v>
      </c>
      <c r="B74" t="s">
        <v>173</v>
      </c>
      <c r="C74" t="s">
        <v>21</v>
      </c>
    </row>
    <row r="75" spans="1:3" x14ac:dyDescent="0.45">
      <c r="A75" t="s">
        <v>168</v>
      </c>
      <c r="B75" t="s">
        <v>174</v>
      </c>
      <c r="C75" t="s">
        <v>28</v>
      </c>
    </row>
    <row r="76" spans="1:3" x14ac:dyDescent="0.45">
      <c r="A76" t="s">
        <v>168</v>
      </c>
      <c r="B76" t="s">
        <v>175</v>
      </c>
      <c r="C76" t="s">
        <v>176</v>
      </c>
    </row>
    <row r="77" spans="1:3" x14ac:dyDescent="0.45">
      <c r="A77" t="s">
        <v>168</v>
      </c>
      <c r="B77" t="s">
        <v>177</v>
      </c>
      <c r="C77" t="s">
        <v>20</v>
      </c>
    </row>
    <row r="78" spans="1:3" x14ac:dyDescent="0.45">
      <c r="A78" t="s">
        <v>168</v>
      </c>
      <c r="B78" t="s">
        <v>178</v>
      </c>
      <c r="C78" t="s">
        <v>179</v>
      </c>
    </row>
    <row r="79" spans="1:3" x14ac:dyDescent="0.45">
      <c r="A79" t="s">
        <v>168</v>
      </c>
      <c r="B79" t="s">
        <v>180</v>
      </c>
      <c r="C79" t="s">
        <v>181</v>
      </c>
    </row>
    <row r="80" spans="1:3" x14ac:dyDescent="0.45">
      <c r="A80" t="s">
        <v>182</v>
      </c>
      <c r="B80" t="s">
        <v>183</v>
      </c>
      <c r="C80" t="s">
        <v>27</v>
      </c>
    </row>
    <row r="81" spans="1:3" x14ac:dyDescent="0.45">
      <c r="A81" t="s">
        <v>182</v>
      </c>
      <c r="B81" t="s">
        <v>184</v>
      </c>
      <c r="C81" t="s">
        <v>16</v>
      </c>
    </row>
    <row r="82" spans="1:3" x14ac:dyDescent="0.45">
      <c r="A82" t="s">
        <v>182</v>
      </c>
      <c r="B82" t="s">
        <v>185</v>
      </c>
      <c r="C82" t="s">
        <v>186</v>
      </c>
    </row>
    <row r="83" spans="1:3" x14ac:dyDescent="0.45">
      <c r="A83" t="s">
        <v>182</v>
      </c>
      <c r="B83" t="s">
        <v>187</v>
      </c>
      <c r="C83" t="s">
        <v>18</v>
      </c>
    </row>
    <row r="84" spans="1:3" x14ac:dyDescent="0.45">
      <c r="A84" t="s">
        <v>182</v>
      </c>
      <c r="B84" t="s">
        <v>188</v>
      </c>
      <c r="C84" t="s">
        <v>189</v>
      </c>
    </row>
    <row r="85" spans="1:3" x14ac:dyDescent="0.45">
      <c r="A85" t="s">
        <v>182</v>
      </c>
      <c r="B85" t="s">
        <v>190</v>
      </c>
      <c r="C85" t="s">
        <v>10</v>
      </c>
    </row>
    <row r="86" spans="1:3" x14ac:dyDescent="0.45">
      <c r="A86" t="s">
        <v>182</v>
      </c>
      <c r="B86" t="s">
        <v>191</v>
      </c>
      <c r="C86" t="s">
        <v>26</v>
      </c>
    </row>
    <row r="87" spans="1:3" x14ac:dyDescent="0.45">
      <c r="A87" t="s">
        <v>182</v>
      </c>
      <c r="B87" t="s">
        <v>192</v>
      </c>
      <c r="C87" t="s">
        <v>193</v>
      </c>
    </row>
    <row r="88" spans="1:3" x14ac:dyDescent="0.45">
      <c r="A88" t="s">
        <v>182</v>
      </c>
      <c r="B88" t="s">
        <v>194</v>
      </c>
      <c r="C88" t="s">
        <v>195</v>
      </c>
    </row>
    <row r="89" spans="1:3" x14ac:dyDescent="0.45">
      <c r="A89" t="s">
        <v>182</v>
      </c>
      <c r="B89" t="s">
        <v>196</v>
      </c>
      <c r="C89" t="s">
        <v>197</v>
      </c>
    </row>
    <row r="90" spans="1:3" x14ac:dyDescent="0.45">
      <c r="A90" t="s">
        <v>182</v>
      </c>
      <c r="B90" t="s">
        <v>198</v>
      </c>
      <c r="C90" t="s">
        <v>199</v>
      </c>
    </row>
    <row r="91" spans="1:3" x14ac:dyDescent="0.45">
      <c r="A91" t="s">
        <v>182</v>
      </c>
      <c r="B91" t="s">
        <v>200</v>
      </c>
      <c r="C91" t="s">
        <v>201</v>
      </c>
    </row>
    <row r="92" spans="1:3" x14ac:dyDescent="0.45">
      <c r="A92" t="s">
        <v>182</v>
      </c>
      <c r="B92" t="s">
        <v>202</v>
      </c>
      <c r="C92" t="s">
        <v>203</v>
      </c>
    </row>
    <row r="93" spans="1:3" x14ac:dyDescent="0.45">
      <c r="A93" t="s">
        <v>182</v>
      </c>
      <c r="B93" t="s">
        <v>204</v>
      </c>
      <c r="C93" t="s">
        <v>205</v>
      </c>
    </row>
    <row r="94" spans="1:3" x14ac:dyDescent="0.45">
      <c r="A94" t="s">
        <v>182</v>
      </c>
      <c r="B94" t="s">
        <v>206</v>
      </c>
      <c r="C94" t="s">
        <v>207</v>
      </c>
    </row>
    <row r="95" spans="1:3" x14ac:dyDescent="0.45">
      <c r="A95" t="s">
        <v>182</v>
      </c>
      <c r="B95" t="s">
        <v>208</v>
      </c>
      <c r="C95" t="s">
        <v>209</v>
      </c>
    </row>
    <row r="96" spans="1:3" x14ac:dyDescent="0.45">
      <c r="A96" t="s">
        <v>182</v>
      </c>
      <c r="B96" t="s">
        <v>210</v>
      </c>
      <c r="C96" t="s">
        <v>211</v>
      </c>
    </row>
    <row r="97" spans="1:3" x14ac:dyDescent="0.45">
      <c r="A97" t="s">
        <v>182</v>
      </c>
      <c r="B97" t="s">
        <v>212</v>
      </c>
      <c r="C97" t="s">
        <v>213</v>
      </c>
    </row>
    <row r="98" spans="1:3" x14ac:dyDescent="0.45">
      <c r="A98" t="s">
        <v>182</v>
      </c>
      <c r="B98" t="s">
        <v>214</v>
      </c>
      <c r="C98" t="s">
        <v>11</v>
      </c>
    </row>
    <row r="99" spans="1:3" x14ac:dyDescent="0.45">
      <c r="A99" t="s">
        <v>215</v>
      </c>
      <c r="C99" t="s">
        <v>216</v>
      </c>
    </row>
    <row r="100" spans="1:3" x14ac:dyDescent="0.45">
      <c r="A100" t="s">
        <v>215</v>
      </c>
      <c r="C100" t="s">
        <v>217</v>
      </c>
    </row>
    <row r="101" spans="1:3" x14ac:dyDescent="0.45">
      <c r="A101" t="s">
        <v>215</v>
      </c>
      <c r="C101" t="s">
        <v>218</v>
      </c>
    </row>
    <row r="102" spans="1:3" x14ac:dyDescent="0.45">
      <c r="A102" t="s">
        <v>215</v>
      </c>
      <c r="C102" t="s">
        <v>219</v>
      </c>
    </row>
    <row r="103" spans="1:3" x14ac:dyDescent="0.45">
      <c r="A103" t="s">
        <v>220</v>
      </c>
      <c r="B103" t="s">
        <v>221</v>
      </c>
      <c r="C103" t="s">
        <v>222</v>
      </c>
    </row>
    <row r="104" spans="1:3" x14ac:dyDescent="0.45">
      <c r="A104" t="s">
        <v>220</v>
      </c>
      <c r="B104" t="s">
        <v>223</v>
      </c>
      <c r="C104" t="s">
        <v>224</v>
      </c>
    </row>
    <row r="105" spans="1:3" x14ac:dyDescent="0.45">
      <c r="A105" t="s">
        <v>220</v>
      </c>
      <c r="B105" t="s">
        <v>225</v>
      </c>
      <c r="C105" t="s">
        <v>226</v>
      </c>
    </row>
    <row r="106" spans="1:3" x14ac:dyDescent="0.45">
      <c r="A106" t="s">
        <v>220</v>
      </c>
      <c r="B106" t="s">
        <v>225</v>
      </c>
      <c r="C106" t="s">
        <v>227</v>
      </c>
    </row>
    <row r="107" spans="1:3" x14ac:dyDescent="0.45">
      <c r="A107" t="s">
        <v>220</v>
      </c>
      <c r="B107" t="s">
        <v>225</v>
      </c>
      <c r="C107" t="s">
        <v>228</v>
      </c>
    </row>
    <row r="108" spans="1:3" x14ac:dyDescent="0.45">
      <c r="A108" t="s">
        <v>220</v>
      </c>
      <c r="B108" t="s">
        <v>229</v>
      </c>
      <c r="C108" t="s">
        <v>230</v>
      </c>
    </row>
    <row r="109" spans="1:3" x14ac:dyDescent="0.45">
      <c r="A109" t="s">
        <v>220</v>
      </c>
      <c r="B109" t="s">
        <v>225</v>
      </c>
      <c r="C109" t="s">
        <v>231</v>
      </c>
    </row>
    <row r="110" spans="1:3" x14ac:dyDescent="0.45">
      <c r="A110" t="s">
        <v>220</v>
      </c>
      <c r="B110" t="s">
        <v>225</v>
      </c>
      <c r="C110" t="s">
        <v>232</v>
      </c>
    </row>
    <row r="111" spans="1:3" x14ac:dyDescent="0.45">
      <c r="A111" t="s">
        <v>220</v>
      </c>
      <c r="B111" t="s">
        <v>233</v>
      </c>
      <c r="C111" t="s">
        <v>234</v>
      </c>
    </row>
    <row r="112" spans="1:3" x14ac:dyDescent="0.45">
      <c r="A112" t="s">
        <v>235</v>
      </c>
      <c r="B112" t="s">
        <v>236</v>
      </c>
      <c r="C112" t="s">
        <v>237</v>
      </c>
    </row>
    <row r="113" spans="1:3" x14ac:dyDescent="0.45">
      <c r="A113" t="s">
        <v>235</v>
      </c>
      <c r="B113" t="s">
        <v>238</v>
      </c>
      <c r="C113" t="s">
        <v>239</v>
      </c>
    </row>
    <row r="114" spans="1:3" x14ac:dyDescent="0.45">
      <c r="A114" t="s">
        <v>235</v>
      </c>
      <c r="B114" t="s">
        <v>240</v>
      </c>
      <c r="C114" t="s">
        <v>241</v>
      </c>
    </row>
    <row r="115" spans="1:3" x14ac:dyDescent="0.45">
      <c r="A115" t="s">
        <v>235</v>
      </c>
      <c r="B115" t="s">
        <v>242</v>
      </c>
      <c r="C115" t="s">
        <v>243</v>
      </c>
    </row>
    <row r="116" spans="1:3" x14ac:dyDescent="0.45">
      <c r="A116" t="s">
        <v>235</v>
      </c>
      <c r="B116" t="s">
        <v>244</v>
      </c>
      <c r="C116" t="s">
        <v>245</v>
      </c>
    </row>
    <row r="117" spans="1:3" x14ac:dyDescent="0.45">
      <c r="A117" t="s">
        <v>235</v>
      </c>
      <c r="B117" t="s">
        <v>246</v>
      </c>
      <c r="C117" t="s">
        <v>247</v>
      </c>
    </row>
    <row r="118" spans="1:3" x14ac:dyDescent="0.45">
      <c r="A118" t="s">
        <v>235</v>
      </c>
      <c r="B118" t="s">
        <v>248</v>
      </c>
      <c r="C118" t="s">
        <v>249</v>
      </c>
    </row>
    <row r="119" spans="1:3" x14ac:dyDescent="0.45">
      <c r="A119" t="s">
        <v>235</v>
      </c>
      <c r="B119" t="s">
        <v>250</v>
      </c>
      <c r="C119" t="s">
        <v>0</v>
      </c>
    </row>
    <row r="120" spans="1:3" x14ac:dyDescent="0.45">
      <c r="A120" t="s">
        <v>235</v>
      </c>
      <c r="B120" t="s">
        <v>251</v>
      </c>
      <c r="C120" t="s">
        <v>3</v>
      </c>
    </row>
    <row r="121" spans="1:3" x14ac:dyDescent="0.45">
      <c r="A121" t="s">
        <v>235</v>
      </c>
      <c r="B121" t="s">
        <v>252</v>
      </c>
      <c r="C121" t="s">
        <v>24</v>
      </c>
    </row>
    <row r="122" spans="1:3" x14ac:dyDescent="0.45">
      <c r="A122" t="s">
        <v>235</v>
      </c>
      <c r="B122" t="s">
        <v>253</v>
      </c>
      <c r="C122" t="s">
        <v>25</v>
      </c>
    </row>
    <row r="123" spans="1:3" x14ac:dyDescent="0.45">
      <c r="A123" t="s">
        <v>235</v>
      </c>
      <c r="B123" t="s">
        <v>254</v>
      </c>
      <c r="C123" t="s">
        <v>22</v>
      </c>
    </row>
    <row r="124" spans="1:3" x14ac:dyDescent="0.45">
      <c r="A124" t="s">
        <v>235</v>
      </c>
      <c r="B124" t="s">
        <v>255</v>
      </c>
      <c r="C124" t="s">
        <v>4</v>
      </c>
    </row>
    <row r="125" spans="1:3" x14ac:dyDescent="0.45">
      <c r="A125" t="s">
        <v>256</v>
      </c>
      <c r="B125" t="s">
        <v>257</v>
      </c>
      <c r="C125" t="s">
        <v>258</v>
      </c>
    </row>
    <row r="126" spans="1:3" x14ac:dyDescent="0.45">
      <c r="A126" t="s">
        <v>256</v>
      </c>
      <c r="B126" t="s">
        <v>259</v>
      </c>
      <c r="C126" t="s">
        <v>15</v>
      </c>
    </row>
    <row r="127" spans="1:3" x14ac:dyDescent="0.45">
      <c r="A127" t="s">
        <v>256</v>
      </c>
      <c r="B127" t="s">
        <v>260</v>
      </c>
      <c r="C127" t="s">
        <v>261</v>
      </c>
    </row>
    <row r="128" spans="1:3" x14ac:dyDescent="0.45">
      <c r="A128" t="s">
        <v>256</v>
      </c>
      <c r="B128" t="s">
        <v>262</v>
      </c>
      <c r="C128" t="s">
        <v>263</v>
      </c>
    </row>
    <row r="129" spans="1:3" x14ac:dyDescent="0.45">
      <c r="A129" t="s">
        <v>256</v>
      </c>
      <c r="B129" t="s">
        <v>264</v>
      </c>
      <c r="C129" t="s">
        <v>265</v>
      </c>
    </row>
    <row r="130" spans="1:3" x14ac:dyDescent="0.45">
      <c r="A130" t="s">
        <v>256</v>
      </c>
      <c r="B130" t="s">
        <v>266</v>
      </c>
      <c r="C130" t="s">
        <v>267</v>
      </c>
    </row>
    <row r="131" spans="1:3" x14ac:dyDescent="0.45">
      <c r="A131" t="s">
        <v>256</v>
      </c>
      <c r="B131" t="s">
        <v>268</v>
      </c>
      <c r="C131" t="s">
        <v>269</v>
      </c>
    </row>
    <row r="132" spans="1:3" x14ac:dyDescent="0.45">
      <c r="A132" t="s">
        <v>256</v>
      </c>
      <c r="B132" t="s">
        <v>270</v>
      </c>
      <c r="C132" t="s">
        <v>271</v>
      </c>
    </row>
    <row r="133" spans="1:3" x14ac:dyDescent="0.45">
      <c r="A133" t="s">
        <v>256</v>
      </c>
      <c r="B133" t="s">
        <v>272</v>
      </c>
      <c r="C133" t="s">
        <v>273</v>
      </c>
    </row>
    <row r="134" spans="1:3" x14ac:dyDescent="0.45">
      <c r="A134" t="s">
        <v>256</v>
      </c>
      <c r="B134" t="s">
        <v>274</v>
      </c>
      <c r="C134" t="s">
        <v>17</v>
      </c>
    </row>
    <row r="135" spans="1:3" x14ac:dyDescent="0.45">
      <c r="A135" t="s">
        <v>256</v>
      </c>
      <c r="B135" t="s">
        <v>275</v>
      </c>
      <c r="C135" t="s">
        <v>276</v>
      </c>
    </row>
    <row r="136" spans="1:3" x14ac:dyDescent="0.45">
      <c r="A136" t="s">
        <v>256</v>
      </c>
      <c r="B136" t="s">
        <v>277</v>
      </c>
      <c r="C136" t="s">
        <v>14</v>
      </c>
    </row>
    <row r="137" spans="1:3" x14ac:dyDescent="0.45">
      <c r="A137" t="s">
        <v>256</v>
      </c>
      <c r="B137" t="s">
        <v>278</v>
      </c>
      <c r="C137" t="s">
        <v>279</v>
      </c>
    </row>
    <row r="138" spans="1:3" x14ac:dyDescent="0.45">
      <c r="A138" t="s">
        <v>256</v>
      </c>
      <c r="B138" t="s">
        <v>225</v>
      </c>
      <c r="C138" t="s">
        <v>280</v>
      </c>
    </row>
    <row r="139" spans="1:3" x14ac:dyDescent="0.45">
      <c r="A139" t="s">
        <v>256</v>
      </c>
      <c r="B139" t="s">
        <v>281</v>
      </c>
      <c r="C139" t="s">
        <v>282</v>
      </c>
    </row>
    <row r="140" spans="1:3" x14ac:dyDescent="0.45">
      <c r="A140" t="s">
        <v>283</v>
      </c>
      <c r="C140" t="s">
        <v>284</v>
      </c>
    </row>
    <row r="141" spans="1:3" x14ac:dyDescent="0.45">
      <c r="A141" t="s">
        <v>283</v>
      </c>
      <c r="C141" t="s">
        <v>285</v>
      </c>
    </row>
    <row r="142" spans="1:3" x14ac:dyDescent="0.45">
      <c r="A142" t="s">
        <v>283</v>
      </c>
      <c r="C142" t="s">
        <v>286</v>
      </c>
    </row>
    <row r="143" spans="1:3" x14ac:dyDescent="0.45">
      <c r="A143" t="s">
        <v>283</v>
      </c>
      <c r="C143" t="s">
        <v>287</v>
      </c>
    </row>
    <row r="144" spans="1:3" x14ac:dyDescent="0.45">
      <c r="A144" t="s">
        <v>288</v>
      </c>
      <c r="B144" t="s">
        <v>289</v>
      </c>
      <c r="C144" t="s">
        <v>290</v>
      </c>
    </row>
    <row r="145" spans="1:3" x14ac:dyDescent="0.45">
      <c r="A145" t="s">
        <v>288</v>
      </c>
      <c r="B145" t="s">
        <v>291</v>
      </c>
      <c r="C145" t="s">
        <v>292</v>
      </c>
    </row>
    <row r="146" spans="1:3" x14ac:dyDescent="0.45">
      <c r="A146" t="s">
        <v>288</v>
      </c>
      <c r="B146" t="s">
        <v>293</v>
      </c>
      <c r="C146" t="s">
        <v>294</v>
      </c>
    </row>
    <row r="147" spans="1:3" x14ac:dyDescent="0.45">
      <c r="A147" t="s">
        <v>288</v>
      </c>
      <c r="B147" t="s">
        <v>295</v>
      </c>
      <c r="C147" t="s">
        <v>296</v>
      </c>
    </row>
    <row r="148" spans="1:3" x14ac:dyDescent="0.45">
      <c r="A148" t="s">
        <v>288</v>
      </c>
      <c r="B148" t="s">
        <v>297</v>
      </c>
      <c r="C148" t="s">
        <v>298</v>
      </c>
    </row>
    <row r="149" spans="1:3" x14ac:dyDescent="0.45">
      <c r="A149" t="s">
        <v>288</v>
      </c>
      <c r="B149" t="s">
        <v>225</v>
      </c>
      <c r="C149" t="s">
        <v>299</v>
      </c>
    </row>
    <row r="150" spans="1:3" x14ac:dyDescent="0.45">
      <c r="A150" t="s">
        <v>300</v>
      </c>
      <c r="B150" t="s">
        <v>301</v>
      </c>
      <c r="C150" t="s">
        <v>302</v>
      </c>
    </row>
    <row r="151" spans="1:3" x14ac:dyDescent="0.45">
      <c r="A151" t="s">
        <v>300</v>
      </c>
      <c r="B151" t="s">
        <v>303</v>
      </c>
      <c r="C151" t="s">
        <v>304</v>
      </c>
    </row>
    <row r="152" spans="1:3" x14ac:dyDescent="0.45">
      <c r="A152" t="s">
        <v>300</v>
      </c>
      <c r="B152" t="s">
        <v>305</v>
      </c>
      <c r="C152" t="s">
        <v>306</v>
      </c>
    </row>
    <row r="153" spans="1:3" x14ac:dyDescent="0.45">
      <c r="A153" t="s">
        <v>300</v>
      </c>
      <c r="B153" t="s">
        <v>307</v>
      </c>
      <c r="C153" t="s">
        <v>308</v>
      </c>
    </row>
    <row r="154" spans="1:3" x14ac:dyDescent="0.45">
      <c r="A154" t="s">
        <v>300</v>
      </c>
      <c r="B154" t="s">
        <v>309</v>
      </c>
      <c r="C154" t="s">
        <v>310</v>
      </c>
    </row>
    <row r="155" spans="1:3" x14ac:dyDescent="0.45">
      <c r="A155" t="s">
        <v>300</v>
      </c>
      <c r="B155" t="s">
        <v>225</v>
      </c>
      <c r="C155" t="s">
        <v>311</v>
      </c>
    </row>
    <row r="156" spans="1:3" x14ac:dyDescent="0.45">
      <c r="A156" t="s">
        <v>300</v>
      </c>
      <c r="B156" t="s">
        <v>312</v>
      </c>
      <c r="C156" t="s">
        <v>313</v>
      </c>
    </row>
    <row r="157" spans="1:3" x14ac:dyDescent="0.45">
      <c r="A157" t="s">
        <v>300</v>
      </c>
      <c r="B157" t="s">
        <v>314</v>
      </c>
      <c r="C157" t="s">
        <v>315</v>
      </c>
    </row>
    <row r="158" spans="1:3" x14ac:dyDescent="0.45">
      <c r="A158" t="s">
        <v>300</v>
      </c>
      <c r="B158" t="s">
        <v>316</v>
      </c>
      <c r="C158" t="s">
        <v>317</v>
      </c>
    </row>
    <row r="159" spans="1:3" x14ac:dyDescent="0.45">
      <c r="A159" t="s">
        <v>300</v>
      </c>
      <c r="B159" t="s">
        <v>318</v>
      </c>
      <c r="C159" t="s">
        <v>319</v>
      </c>
    </row>
    <row r="160" spans="1:3" x14ac:dyDescent="0.45">
      <c r="A160" t="s">
        <v>300</v>
      </c>
      <c r="B160" t="s">
        <v>320</v>
      </c>
      <c r="C160" t="s">
        <v>321</v>
      </c>
    </row>
    <row r="161" spans="1:3" x14ac:dyDescent="0.45">
      <c r="A161" t="s">
        <v>300</v>
      </c>
      <c r="B161" t="s">
        <v>322</v>
      </c>
      <c r="C161" t="s">
        <v>323</v>
      </c>
    </row>
    <row r="162" spans="1:3" x14ac:dyDescent="0.45">
      <c r="A162" t="s">
        <v>300</v>
      </c>
      <c r="B162" t="s">
        <v>324</v>
      </c>
      <c r="C162" t="s">
        <v>325</v>
      </c>
    </row>
    <row r="163" spans="1:3" x14ac:dyDescent="0.45">
      <c r="A163" t="s">
        <v>300</v>
      </c>
      <c r="B163" t="s">
        <v>326</v>
      </c>
      <c r="C163" t="s">
        <v>12</v>
      </c>
    </row>
    <row r="164" spans="1:3" x14ac:dyDescent="0.45">
      <c r="A164" t="s">
        <v>300</v>
      </c>
      <c r="B164" t="s">
        <v>327</v>
      </c>
      <c r="C164" t="s">
        <v>328</v>
      </c>
    </row>
    <row r="165" spans="1:3" x14ac:dyDescent="0.45">
      <c r="A165" t="s">
        <v>300</v>
      </c>
      <c r="B165" t="s">
        <v>329</v>
      </c>
      <c r="C165" t="s">
        <v>330</v>
      </c>
    </row>
    <row r="166" spans="1:3" x14ac:dyDescent="0.45">
      <c r="A166" t="s">
        <v>300</v>
      </c>
      <c r="B166" t="s">
        <v>331</v>
      </c>
      <c r="C166" t="s">
        <v>332</v>
      </c>
    </row>
    <row r="167" spans="1:3" x14ac:dyDescent="0.45">
      <c r="A167" t="s">
        <v>300</v>
      </c>
      <c r="B167" t="s">
        <v>333</v>
      </c>
      <c r="C167" t="s">
        <v>334</v>
      </c>
    </row>
    <row r="168" spans="1:3" x14ac:dyDescent="0.45">
      <c r="A168" t="s">
        <v>300</v>
      </c>
      <c r="B168" t="s">
        <v>335</v>
      </c>
      <c r="C168" t="s">
        <v>336</v>
      </c>
    </row>
    <row r="169" spans="1:3" x14ac:dyDescent="0.45">
      <c r="A169" t="s">
        <v>300</v>
      </c>
      <c r="B169" t="s">
        <v>337</v>
      </c>
      <c r="C169" t="s">
        <v>338</v>
      </c>
    </row>
    <row r="170" spans="1:3" x14ac:dyDescent="0.45">
      <c r="A170" t="s">
        <v>300</v>
      </c>
      <c r="B170" t="s">
        <v>339</v>
      </c>
      <c r="C170" t="s">
        <v>340</v>
      </c>
    </row>
    <row r="171" spans="1:3" x14ac:dyDescent="0.45">
      <c r="A171" t="s">
        <v>300</v>
      </c>
      <c r="B171" t="s">
        <v>341</v>
      </c>
      <c r="C171" t="s">
        <v>342</v>
      </c>
    </row>
    <row r="172" spans="1:3" x14ac:dyDescent="0.45">
      <c r="A172" t="s">
        <v>300</v>
      </c>
      <c r="B172" t="s">
        <v>343</v>
      </c>
      <c r="C172" t="s">
        <v>344</v>
      </c>
    </row>
    <row r="173" spans="1:3" x14ac:dyDescent="0.45">
      <c r="A173" t="s">
        <v>300</v>
      </c>
      <c r="B173" t="s">
        <v>345</v>
      </c>
      <c r="C173" t="s">
        <v>346</v>
      </c>
    </row>
    <row r="174" spans="1:3" x14ac:dyDescent="0.45">
      <c r="A174" t="s">
        <v>347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721CE-C757-4082-A234-557A5A66309A}">
  <sheetPr codeName="Sheet6"/>
  <dimension ref="A1:B6"/>
  <sheetViews>
    <sheetView workbookViewId="0"/>
  </sheetViews>
  <sheetFormatPr defaultRowHeight="18" x14ac:dyDescent="0.45"/>
  <sheetData>
    <row r="1" spans="1:2" x14ac:dyDescent="0.45">
      <c r="A1" t="s">
        <v>362</v>
      </c>
      <c r="B1" t="s">
        <v>363</v>
      </c>
    </row>
    <row r="2" spans="1:2" x14ac:dyDescent="0.45">
      <c r="A2" t="s">
        <v>364</v>
      </c>
      <c r="B2" t="s">
        <v>365</v>
      </c>
    </row>
    <row r="3" spans="1:2" x14ac:dyDescent="0.45">
      <c r="A3" t="s">
        <v>364</v>
      </c>
      <c r="B3" t="s">
        <v>366</v>
      </c>
    </row>
    <row r="4" spans="1:2" x14ac:dyDescent="0.45">
      <c r="A4" t="s">
        <v>364</v>
      </c>
      <c r="B4" t="s">
        <v>367</v>
      </c>
    </row>
    <row r="5" spans="1:2" x14ac:dyDescent="0.45">
      <c r="A5" t="s">
        <v>364</v>
      </c>
      <c r="B5" t="s">
        <v>368</v>
      </c>
    </row>
    <row r="6" spans="1:2" x14ac:dyDescent="0.45">
      <c r="A6" t="s">
        <v>364</v>
      </c>
      <c r="B6" t="s">
        <v>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CE9F3-07CD-4348-999E-78E01A8D5191}">
  <sheetPr codeName="Sheet1"/>
  <dimension ref="A1:E1"/>
  <sheetViews>
    <sheetView workbookViewId="0">
      <selection activeCell="A9" sqref="A9"/>
    </sheetView>
  </sheetViews>
  <sheetFormatPr defaultRowHeight="18" x14ac:dyDescent="0.45"/>
  <cols>
    <col min="1" max="1" width="74.296875" bestFit="1" customWidth="1"/>
    <col min="2" max="2" width="6.796875" bestFit="1" customWidth="1"/>
    <col min="3" max="3" width="31.5" bestFit="1" customWidth="1"/>
    <col min="4" max="4" width="8.59765625" bestFit="1" customWidth="1"/>
    <col min="5" max="5" width="16.69921875" style="7" bestFit="1" customWidth="1"/>
  </cols>
  <sheetData>
    <row r="1" spans="1:5" s="6" customFormat="1" x14ac:dyDescent="0.45">
      <c r="A1" s="9" t="s">
        <v>348</v>
      </c>
      <c r="B1" s="10" t="s">
        <v>29</v>
      </c>
      <c r="C1" s="10" t="s">
        <v>350</v>
      </c>
      <c r="D1" s="10" t="s">
        <v>351</v>
      </c>
      <c r="E1" s="11" t="s">
        <v>352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原澤</vt:lpstr>
      <vt:lpstr>設定シート</vt:lpstr>
      <vt:lpstr>商品マスタ</vt:lpstr>
      <vt:lpstr>担当者DB</vt:lpstr>
      <vt:lpstr>取込ログ</vt:lpstr>
      <vt:lpstr>原澤!Print_Area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川崎　昇吾</dc:creator>
  <cp:lastModifiedBy>家治　清悟</cp:lastModifiedBy>
  <cp:lastPrinted>2026-04-16T03:04:43Z</cp:lastPrinted>
  <dcterms:created xsi:type="dcterms:W3CDTF">2026-04-16T00:30:14Z</dcterms:created>
  <dcterms:modified xsi:type="dcterms:W3CDTF">2026-04-28T05:40:00Z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見積書フォルダパス">
    <vt:lpwstr>C:\Users\SK070581\Desktop\見積書</vt:lpwstr>
  </property>
  <property fmtid="{D5CDD505-2E9C-101B-9397-08002B2CF9AE}" pid="3" name="見積書フォルダパス_通常">
    <vt:lpwstr>C:\Users\SK070581\Desktop\5月集計\亀井5月\通常見積書</vt:lpwstr>
  </property>
  <property fmtid="{D5CDD505-2E9C-101B-9397-08002B2CF9AE}" pid="4" name="見積書フォルダパス_UR">
    <vt:lpwstr>C:\Users\SK070581\Desktop\5月集計\亀井5月\UR用見積書</vt:lpwstr>
  </property>
</Properties>
</file>